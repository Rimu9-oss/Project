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SEian\Downloads\"/>
    </mc:Choice>
  </mc:AlternateContent>
  <xr:revisionPtr revIDLastSave="0" documentId="13_ncr:1_{32B12AC0-7B38-44DB-AD99-F80123EF1A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stion 1" sheetId="1" r:id="rId1"/>
    <sheet name="querstion 2" sheetId="10" r:id="rId2"/>
    <sheet name="question 3" sheetId="16" r:id="rId3"/>
    <sheet name="question 4" sheetId="22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2" l="1"/>
  <c r="F9" i="22"/>
  <c r="F10" i="22"/>
  <c r="F11" i="22"/>
  <c r="F12" i="22"/>
  <c r="F13" i="22"/>
  <c r="F14" i="22"/>
  <c r="F15" i="22"/>
  <c r="F16" i="22"/>
  <c r="F17" i="22"/>
  <c r="F18" i="22"/>
  <c r="F7" i="22"/>
  <c r="M29" i="16"/>
  <c r="M30" i="16"/>
  <c r="M28" i="16"/>
  <c r="G4" i="1"/>
  <c r="G5" i="1"/>
  <c r="G6" i="1"/>
  <c r="G7" i="1"/>
  <c r="G8" i="1"/>
  <c r="G9" i="1"/>
  <c r="G10" i="1"/>
  <c r="L30" i="16"/>
  <c r="L29" i="16"/>
  <c r="L28" i="16"/>
  <c r="R22" i="16"/>
  <c r="L22" i="16"/>
  <c r="F22" i="16"/>
  <c r="G42" i="10" l="1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H8" i="10"/>
  <c r="G9" i="10"/>
  <c r="H9" i="10" s="1"/>
  <c r="G8" i="10"/>
  <c r="G10" i="10"/>
  <c r="H10" i="10" s="1"/>
  <c r="G11" i="10"/>
  <c r="H11" i="10" s="1"/>
  <c r="G12" i="10"/>
  <c r="H12" i="10" s="1"/>
  <c r="G13" i="10"/>
  <c r="H13" i="10" s="1"/>
  <c r="I37" i="10" l="1"/>
  <c r="J37" i="10" s="1"/>
  <c r="L5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N5" i="1" s="1"/>
  <c r="G21" i="1"/>
  <c r="M5" i="1" s="1"/>
  <c r="G20" i="1"/>
  <c r="K5" i="1" s="1"/>
  <c r="G19" i="1"/>
  <c r="G18" i="1"/>
  <c r="G17" i="1"/>
  <c r="G16" i="1"/>
  <c r="G15" i="1"/>
  <c r="G14" i="1"/>
  <c r="G13" i="1"/>
  <c r="G12" i="1"/>
  <c r="G11" i="1"/>
  <c r="P5" i="1"/>
  <c r="O5" i="1"/>
  <c r="G80" i="1" l="1"/>
</calcChain>
</file>

<file path=xl/sharedStrings.xml><?xml version="1.0" encoding="utf-8"?>
<sst xmlns="http://schemas.openxmlformats.org/spreadsheetml/2006/main" count="452" uniqueCount="96">
  <si>
    <t>Sales report of XYZ company</t>
  </si>
  <si>
    <t>Date</t>
  </si>
  <si>
    <t>Region</t>
  </si>
  <si>
    <t>Sales Rep</t>
  </si>
  <si>
    <t>Product</t>
  </si>
  <si>
    <t>Quantity</t>
  </si>
  <si>
    <t>Unit Price (BDT)</t>
  </si>
  <si>
    <t>Total Sales (BDT)</t>
  </si>
  <si>
    <t>Barishal</t>
  </si>
  <si>
    <t>Arif Hossain</t>
  </si>
  <si>
    <t>Laptop</t>
  </si>
  <si>
    <t>Chittagong</t>
  </si>
  <si>
    <t>Oishi Das</t>
  </si>
  <si>
    <t>Desktop</t>
  </si>
  <si>
    <t>Khulna</t>
  </si>
  <si>
    <t>Parvez Hasan</t>
  </si>
  <si>
    <t>Tablet</t>
  </si>
  <si>
    <t>Rajshahi</t>
  </si>
  <si>
    <t>Nabila Sultana</t>
  </si>
  <si>
    <t>Smartphone</t>
  </si>
  <si>
    <t>Sylhet</t>
  </si>
  <si>
    <t>Eva Karim</t>
  </si>
  <si>
    <t>Dhaka</t>
  </si>
  <si>
    <t>Farhan Islam</t>
  </si>
  <si>
    <t>sum</t>
  </si>
  <si>
    <t>chittagong</t>
  </si>
  <si>
    <t>Grand Total</t>
  </si>
  <si>
    <t>Column Labels</t>
  </si>
  <si>
    <t>Sum of Total Sales (BDT)</t>
  </si>
  <si>
    <t>C</t>
  </si>
  <si>
    <t>Smartphones Sales by Arif Hossain</t>
  </si>
  <si>
    <t>D</t>
  </si>
  <si>
    <t>B</t>
  </si>
  <si>
    <t>E</t>
  </si>
  <si>
    <t>Sum of Quantity</t>
  </si>
  <si>
    <t>Row Labels</t>
  </si>
  <si>
    <t>january</t>
  </si>
  <si>
    <t>ID</t>
  </si>
  <si>
    <t>Name</t>
  </si>
  <si>
    <t>Salary</t>
  </si>
  <si>
    <t>Sales</t>
  </si>
  <si>
    <t>Total</t>
  </si>
  <si>
    <t>Pervez Hasan</t>
  </si>
  <si>
    <t>Bonus</t>
  </si>
  <si>
    <t>Sum of Total</t>
  </si>
  <si>
    <t>average</t>
  </si>
  <si>
    <t>2.(d)</t>
  </si>
  <si>
    <t>round</t>
  </si>
  <si>
    <t>Statistics of sales represantative</t>
  </si>
  <si>
    <t>2.(c)</t>
  </si>
  <si>
    <t>January</t>
  </si>
  <si>
    <t>item</t>
  </si>
  <si>
    <t>category</t>
  </si>
  <si>
    <t>Unit price</t>
  </si>
  <si>
    <t>Office rent</t>
  </si>
  <si>
    <t>Adrertisement</t>
  </si>
  <si>
    <t>Warehouse rent</t>
  </si>
  <si>
    <t>Internet</t>
  </si>
  <si>
    <t>Staff salary</t>
  </si>
  <si>
    <t>Administration</t>
  </si>
  <si>
    <t>Computer bill</t>
  </si>
  <si>
    <t>Voucher</t>
  </si>
  <si>
    <t>Printing materials</t>
  </si>
  <si>
    <t>Additonal cost</t>
  </si>
  <si>
    <t>product</t>
  </si>
  <si>
    <t>rent expense</t>
  </si>
  <si>
    <t>Operation expenses</t>
  </si>
  <si>
    <t>office expenses</t>
  </si>
  <si>
    <t>Marketing expenses</t>
  </si>
  <si>
    <t>Rent expenses</t>
  </si>
  <si>
    <t>February</t>
  </si>
  <si>
    <t>March</t>
  </si>
  <si>
    <t>Expenses report ofXYZ company</t>
  </si>
  <si>
    <t>Month</t>
  </si>
  <si>
    <t>Expenses</t>
  </si>
  <si>
    <t>Retail profit</t>
  </si>
  <si>
    <t>Profit/loss</t>
  </si>
  <si>
    <t>Jan</t>
  </si>
  <si>
    <t>Feb</t>
  </si>
  <si>
    <t>Mar</t>
  </si>
  <si>
    <t>3.(a)</t>
  </si>
  <si>
    <t>3. (b)</t>
  </si>
  <si>
    <t>January has the lowest "product" quantity</t>
  </si>
  <si>
    <t>Yearly Report</t>
  </si>
  <si>
    <t>Profit</t>
  </si>
  <si>
    <t>April</t>
  </si>
  <si>
    <t>May</t>
  </si>
  <si>
    <t>June</t>
  </si>
  <si>
    <t>July</t>
  </si>
  <si>
    <t>August</t>
  </si>
  <si>
    <t>September</t>
  </si>
  <si>
    <t>Octobar</t>
  </si>
  <si>
    <t>November</t>
  </si>
  <si>
    <t>December</t>
  </si>
  <si>
    <r>
      <rPr>
        <b/>
        <sz val="11"/>
        <color rgb="FFFF0000"/>
        <rFont val="Calibri"/>
        <family val="2"/>
        <scheme val="minor"/>
      </rPr>
      <t>2. (a,b</t>
    </r>
    <r>
      <rPr>
        <sz val="11"/>
        <color rgb="FFFF0000"/>
        <rFont val="Calibri"/>
        <family val="2"/>
        <scheme val="minor"/>
      </rPr>
      <t>)</t>
    </r>
  </si>
  <si>
    <t>Question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</si>
</sst>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1" fillId="0" borderId="1" xfId="0" applyFont="1" applyBorder="1"/>
    <xf numFmtId="0" fontId="0" fillId="8" borderId="1" xfId="0" applyFill="1" applyBorder="1"/>
    <xf numFmtId="0" fontId="0" fillId="10" borderId="1" xfId="0" applyFill="1" applyBorder="1"/>
    <xf numFmtId="0" fontId="1" fillId="9" borderId="1" xfId="0" applyFont="1" applyFill="1" applyBorder="1"/>
    <xf numFmtId="0" fontId="0" fillId="0" borderId="0" xfId="0" pivotButton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4" fillId="10" borderId="1" xfId="0" applyFont="1" applyFill="1" applyBorder="1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5" fillId="10" borderId="1" xfId="0" applyFont="1" applyFill="1" applyBorder="1"/>
    <xf numFmtId="0" fontId="6" fillId="10" borderId="1" xfId="0" applyFont="1" applyFill="1" applyBorder="1"/>
    <xf numFmtId="0" fontId="3" fillId="11" borderId="1" xfId="0" applyFont="1" applyFill="1" applyBorder="1"/>
    <xf numFmtId="0" fontId="0" fillId="12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</cellXfs>
  <cellStyles count="1">
    <cellStyle name="Normal" xfId="0" builtinId="0"/>
  </cellStyles>
  <dxfs count="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ill>
        <patternFill>
          <bgColor theme="7" tint="0.39997558519241921"/>
        </patternFill>
      </fill>
    </dxf>
    <dxf>
      <fill>
        <patternFill>
          <bgColor rgb="FFFF3E11"/>
        </patternFill>
      </fill>
    </dxf>
    <dxf>
      <fill>
        <patternFill>
          <bgColor theme="9" tint="0.39994506668294322"/>
        </patternFill>
      </fill>
    </dxf>
    <dxf>
      <font>
        <color rgb="FFED0000"/>
      </font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E11"/>
      <color rgb="FFFF4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in every region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30-4691-AFC3-7813469D8F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5F-48CA-8159-38C0F490A0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5F-48CA-8159-38C0F490A0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5F-48CA-8159-38C0F490A0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5F-48CA-8159-38C0F490A0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30-4691-AFC3-7813469D8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1'!$K$4:$P$4</c:f>
              <c:strCache>
                <c:ptCount val="6"/>
                <c:pt idx="0">
                  <c:v>Barishal</c:v>
                </c:pt>
                <c:pt idx="1">
                  <c:v>chittagong</c:v>
                </c:pt>
                <c:pt idx="2">
                  <c:v>Khulna</c:v>
                </c:pt>
                <c:pt idx="3">
                  <c:v>Rajshahi</c:v>
                </c:pt>
                <c:pt idx="4">
                  <c:v>Sylhet</c:v>
                </c:pt>
                <c:pt idx="5">
                  <c:v>Dhaka</c:v>
                </c:pt>
              </c:strCache>
            </c:strRef>
          </c:cat>
          <c:val>
            <c:numRef>
              <c:f>'question 1'!$K$5:$P$5</c:f>
              <c:numCache>
                <c:formatCode>General</c:formatCode>
                <c:ptCount val="6"/>
                <c:pt idx="0">
                  <c:v>5010000</c:v>
                </c:pt>
                <c:pt idx="1">
                  <c:v>4340000</c:v>
                </c:pt>
                <c:pt idx="2">
                  <c:v>4110000</c:v>
                </c:pt>
                <c:pt idx="3">
                  <c:v>4760000</c:v>
                </c:pt>
                <c:pt idx="4">
                  <c:v>4600000</c:v>
                </c:pt>
                <c:pt idx="5">
                  <c:v>5850000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0-4691-AFC3-7813469D8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Desktop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6950000</c:v>
              </c:pt>
            </c:numLit>
          </c:val>
          <c:extLst>
            <c:ext xmlns:c16="http://schemas.microsoft.com/office/drawing/2014/chart" uri="{C3380CC4-5D6E-409C-BE32-E72D297353CC}">
              <c16:uniqueId val="{00000000-EA71-4F17-B2F2-0D758D52F742}"/>
            </c:ext>
          </c:extLst>
        </c:ser>
        <c:ser>
          <c:idx val="1"/>
          <c:order val="1"/>
          <c:tx>
            <c:v>Laptop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12250000</c:v>
              </c:pt>
            </c:numLit>
          </c:val>
          <c:extLst>
            <c:ext xmlns:c16="http://schemas.microsoft.com/office/drawing/2014/chart" uri="{C3380CC4-5D6E-409C-BE32-E72D297353CC}">
              <c16:uniqueId val="{00000001-EA71-4F17-B2F2-0D758D52F742}"/>
            </c:ext>
          </c:extLst>
        </c:ser>
        <c:ser>
          <c:idx val="2"/>
          <c:order val="2"/>
          <c:tx>
            <c:v>Smartphone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6150000</c:v>
              </c:pt>
            </c:numLit>
          </c:val>
          <c:extLst>
            <c:ext xmlns:c16="http://schemas.microsoft.com/office/drawing/2014/chart" uri="{C3380CC4-5D6E-409C-BE32-E72D297353CC}">
              <c16:uniqueId val="{00000002-EA71-4F17-B2F2-0D758D52F742}"/>
            </c:ext>
          </c:extLst>
        </c:ser>
        <c:ser>
          <c:idx val="3"/>
          <c:order val="3"/>
          <c:tx>
            <c:v>Tablet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3320000</c:v>
              </c:pt>
            </c:numLit>
          </c:val>
          <c:extLst>
            <c:ext xmlns:c16="http://schemas.microsoft.com/office/drawing/2014/chart" uri="{C3380CC4-5D6E-409C-BE32-E72D297353CC}">
              <c16:uniqueId val="{00000003-EA71-4F17-B2F2-0D758D52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63776"/>
        <c:axId val="192765312"/>
      </c:barChart>
      <c:catAx>
        <c:axId val="1927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5312"/>
        <c:crosses val="autoZero"/>
        <c:auto val="1"/>
        <c:lblAlgn val="ctr"/>
        <c:lblOffset val="100"/>
        <c:noMultiLvlLbl val="0"/>
      </c:catAx>
      <c:valAx>
        <c:axId val="19276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part 2.xlsx]querstion 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Salary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'querstion 2'!$D$19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'querstion 2'!$C$20:$C$26</c:f>
              <c:strCache>
                <c:ptCount val="6"/>
                <c:pt idx="0">
                  <c:v>Arif Hossain</c:v>
                </c:pt>
                <c:pt idx="1">
                  <c:v>Eva Karim</c:v>
                </c:pt>
                <c:pt idx="2">
                  <c:v>Farhan Islam</c:v>
                </c:pt>
                <c:pt idx="3">
                  <c:v>Nabila Sultana</c:v>
                </c:pt>
                <c:pt idx="4">
                  <c:v>Oishi Das</c:v>
                </c:pt>
                <c:pt idx="5">
                  <c:v>Parvez Hasan</c:v>
                </c:pt>
              </c:strCache>
            </c:strRef>
          </c:cat>
          <c:val>
            <c:numRef>
              <c:f>'querstion 2'!$D$20:$D$26</c:f>
              <c:numCache>
                <c:formatCode>General</c:formatCode>
                <c:ptCount val="6"/>
                <c:pt idx="0">
                  <c:v>170800</c:v>
                </c:pt>
                <c:pt idx="1">
                  <c:v>87600</c:v>
                </c:pt>
                <c:pt idx="2">
                  <c:v>72000</c:v>
                </c:pt>
                <c:pt idx="3">
                  <c:v>364000</c:v>
                </c:pt>
                <c:pt idx="4">
                  <c:v>80400</c:v>
                </c:pt>
                <c:pt idx="5">
                  <c:v>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C-4DBA-86B5-170B5183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109952"/>
        <c:axId val="192111744"/>
      </c:barChart>
      <c:catAx>
        <c:axId val="19210995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192111744"/>
        <c:crosses val="autoZero"/>
        <c:auto val="1"/>
        <c:lblAlgn val="ctr"/>
        <c:lblOffset val="100"/>
        <c:noMultiLvlLbl val="0"/>
      </c:catAx>
      <c:valAx>
        <c:axId val="192111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2109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Report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'question 4'!$D$5:$D$6</c:f>
              <c:strCache>
                <c:ptCount val="2"/>
                <c:pt idx="0">
                  <c:v>Yearly Report</c:v>
                </c:pt>
                <c:pt idx="1">
                  <c:v>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4'!$D$7:$D$18</c:f>
              <c:numCache>
                <c:formatCode>General</c:formatCode>
                <c:ptCount val="12"/>
                <c:pt idx="0">
                  <c:v>9288500</c:v>
                </c:pt>
                <c:pt idx="1">
                  <c:v>9744300</c:v>
                </c:pt>
                <c:pt idx="2">
                  <c:v>8904700</c:v>
                </c:pt>
                <c:pt idx="3">
                  <c:v>7345200</c:v>
                </c:pt>
                <c:pt idx="4">
                  <c:v>8987000</c:v>
                </c:pt>
                <c:pt idx="5">
                  <c:v>5215400</c:v>
                </c:pt>
                <c:pt idx="6">
                  <c:v>9976500</c:v>
                </c:pt>
                <c:pt idx="7">
                  <c:v>7976700</c:v>
                </c:pt>
                <c:pt idx="8">
                  <c:v>9879000</c:v>
                </c:pt>
                <c:pt idx="9">
                  <c:v>6234800</c:v>
                </c:pt>
                <c:pt idx="10">
                  <c:v>4534800</c:v>
                </c:pt>
                <c:pt idx="11">
                  <c:v>8348700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C-4B5E-8D43-A8080352BD87}"/>
            </c:ext>
          </c:extLst>
        </c:ser>
        <c:ser>
          <c:idx val="1"/>
          <c:order val="1"/>
          <c:tx>
            <c:strRef>
              <c:f>'question 4'!$E$5:$E$6</c:f>
              <c:strCache>
                <c:ptCount val="2"/>
                <c:pt idx="0">
                  <c:v>Yearly Report</c:v>
                </c:pt>
                <c:pt idx="1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4'!$E$7:$E$18</c:f>
              <c:numCache>
                <c:formatCode>General</c:formatCode>
                <c:ptCount val="12"/>
                <c:pt idx="0">
                  <c:v>8750000</c:v>
                </c:pt>
                <c:pt idx="1">
                  <c:v>9920000</c:v>
                </c:pt>
                <c:pt idx="2">
                  <c:v>10000000</c:v>
                </c:pt>
                <c:pt idx="3">
                  <c:v>7957400</c:v>
                </c:pt>
                <c:pt idx="4">
                  <c:v>9876500</c:v>
                </c:pt>
                <c:pt idx="5">
                  <c:v>5164500</c:v>
                </c:pt>
                <c:pt idx="6">
                  <c:v>11543600</c:v>
                </c:pt>
                <c:pt idx="7">
                  <c:v>8087900</c:v>
                </c:pt>
                <c:pt idx="8">
                  <c:v>9969800</c:v>
                </c:pt>
                <c:pt idx="9">
                  <c:v>7024000</c:v>
                </c:pt>
                <c:pt idx="10">
                  <c:v>4809300</c:v>
                </c:pt>
                <c:pt idx="11">
                  <c:v>8834800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C-4B5E-8D43-A8080352BD87}"/>
            </c:ext>
          </c:extLst>
        </c:ser>
        <c:ser>
          <c:idx val="2"/>
          <c:order val="2"/>
          <c:tx>
            <c:strRef>
              <c:f>'question 4'!$F$5:$F$6</c:f>
              <c:strCache>
                <c:ptCount val="2"/>
                <c:pt idx="0">
                  <c:v>Yearly Report</c:v>
                </c:pt>
                <c:pt idx="1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4'!$F$7:$F$18</c:f>
              <c:numCache>
                <c:formatCode>General</c:formatCode>
                <c:ptCount val="12"/>
                <c:pt idx="0">
                  <c:v>-538500</c:v>
                </c:pt>
                <c:pt idx="1">
                  <c:v>175700</c:v>
                </c:pt>
                <c:pt idx="2">
                  <c:v>1095300</c:v>
                </c:pt>
                <c:pt idx="3">
                  <c:v>612200</c:v>
                </c:pt>
                <c:pt idx="4">
                  <c:v>889500</c:v>
                </c:pt>
                <c:pt idx="5">
                  <c:v>-50900</c:v>
                </c:pt>
                <c:pt idx="6">
                  <c:v>1567100</c:v>
                </c:pt>
                <c:pt idx="7">
                  <c:v>111200</c:v>
                </c:pt>
                <c:pt idx="8">
                  <c:v>90800</c:v>
                </c:pt>
                <c:pt idx="9">
                  <c:v>789200</c:v>
                </c:pt>
                <c:pt idx="10">
                  <c:v>274500</c:v>
                </c:pt>
                <c:pt idx="11">
                  <c:v>486100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C-4B5E-8D43-A8080352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0806143"/>
        <c:axId val="230782623"/>
        <c:axId val="0"/>
      </c:bar3DChart>
      <c:catAx>
        <c:axId val="23080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82623"/>
        <c:crosses val="autoZero"/>
        <c:auto val="1"/>
        <c:lblAlgn val="ctr"/>
        <c:lblOffset val="100"/>
        <c:noMultiLvlLbl val="0"/>
      </c:catAx>
      <c:valAx>
        <c:axId val="2307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0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Report</a:t>
            </a:r>
            <a:endParaRPr lang="en-US"/>
          </a:p>
        </c:rich>
      </c:tx>
      <c:layout>
        <c:manualLayout>
          <c:xMode val="edge"/>
          <c:yMode val="edge"/>
          <c:x val="0.4233818897637795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4'!$D$5:$D$6</c:f>
              <c:strCache>
                <c:ptCount val="2"/>
                <c:pt idx="0">
                  <c:v>Yearly Report</c:v>
                </c:pt>
                <c:pt idx="1">
                  <c:v>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4'!$D$7:$D$18</c:f>
              <c:numCache>
                <c:formatCode>General</c:formatCode>
                <c:ptCount val="12"/>
                <c:pt idx="0">
                  <c:v>9288500</c:v>
                </c:pt>
                <c:pt idx="1">
                  <c:v>9744300</c:v>
                </c:pt>
                <c:pt idx="2">
                  <c:v>8904700</c:v>
                </c:pt>
                <c:pt idx="3">
                  <c:v>7345200</c:v>
                </c:pt>
                <c:pt idx="4">
                  <c:v>8987000</c:v>
                </c:pt>
                <c:pt idx="5">
                  <c:v>5215400</c:v>
                </c:pt>
                <c:pt idx="6">
                  <c:v>9976500</c:v>
                </c:pt>
                <c:pt idx="7">
                  <c:v>7976700</c:v>
                </c:pt>
                <c:pt idx="8">
                  <c:v>9879000</c:v>
                </c:pt>
                <c:pt idx="9">
                  <c:v>6234800</c:v>
                </c:pt>
                <c:pt idx="10">
                  <c:v>4534800</c:v>
                </c:pt>
                <c:pt idx="11">
                  <c:v>8348700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1-490E-A4E9-410676CECF9A}"/>
            </c:ext>
          </c:extLst>
        </c:ser>
        <c:ser>
          <c:idx val="1"/>
          <c:order val="1"/>
          <c:tx>
            <c:strRef>
              <c:f>'question 4'!$E$5:$E$6</c:f>
              <c:strCache>
                <c:ptCount val="2"/>
                <c:pt idx="0">
                  <c:v>Yearly Report</c:v>
                </c:pt>
                <c:pt idx="1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4'!$E$7:$E$18</c:f>
              <c:numCache>
                <c:formatCode>General</c:formatCode>
                <c:ptCount val="12"/>
                <c:pt idx="0">
                  <c:v>8750000</c:v>
                </c:pt>
                <c:pt idx="1">
                  <c:v>9920000</c:v>
                </c:pt>
                <c:pt idx="2">
                  <c:v>10000000</c:v>
                </c:pt>
                <c:pt idx="3">
                  <c:v>7957400</c:v>
                </c:pt>
                <c:pt idx="4">
                  <c:v>9876500</c:v>
                </c:pt>
                <c:pt idx="5">
                  <c:v>5164500</c:v>
                </c:pt>
                <c:pt idx="6">
                  <c:v>11543600</c:v>
                </c:pt>
                <c:pt idx="7">
                  <c:v>8087900</c:v>
                </c:pt>
                <c:pt idx="8">
                  <c:v>9969800</c:v>
                </c:pt>
                <c:pt idx="9">
                  <c:v>7024000</c:v>
                </c:pt>
                <c:pt idx="10">
                  <c:v>4809300</c:v>
                </c:pt>
                <c:pt idx="11">
                  <c:v>8834800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1-490E-A4E9-410676CECF9A}"/>
            </c:ext>
          </c:extLst>
        </c:ser>
        <c:ser>
          <c:idx val="2"/>
          <c:order val="2"/>
          <c:tx>
            <c:strRef>
              <c:f>'question 4'!$F$5:$F$6</c:f>
              <c:strCache>
                <c:ptCount val="2"/>
                <c:pt idx="0">
                  <c:v>Yearly Report</c:v>
                </c:pt>
                <c:pt idx="1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'question 4'!$C$7:$C$18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Octobar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'question 4'!$F$7:$F$18</c:f>
              <c:numCache>
                <c:formatCode>General</c:formatCode>
                <c:ptCount val="12"/>
                <c:pt idx="0">
                  <c:v>-538500</c:v>
                </c:pt>
                <c:pt idx="1">
                  <c:v>175700</c:v>
                </c:pt>
                <c:pt idx="2">
                  <c:v>1095300</c:v>
                </c:pt>
                <c:pt idx="3">
                  <c:v>612200</c:v>
                </c:pt>
                <c:pt idx="4">
                  <c:v>889500</c:v>
                </c:pt>
                <c:pt idx="5">
                  <c:v>-50900</c:v>
                </c:pt>
                <c:pt idx="6">
                  <c:v>1567100</c:v>
                </c:pt>
                <c:pt idx="7">
                  <c:v>111200</c:v>
                </c:pt>
                <c:pt idx="8">
                  <c:v>90800</c:v>
                </c:pt>
                <c:pt idx="9">
                  <c:v>789200</c:v>
                </c:pt>
                <c:pt idx="10">
                  <c:v>274500</c:v>
                </c:pt>
                <c:pt idx="11">
                  <c:v>486100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1-490E-A4E9-410676CE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61407"/>
        <c:axId val="187869087"/>
      </c:lineChart>
      <c:catAx>
        <c:axId val="1878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9087"/>
        <c:crosses val="autoZero"/>
        <c:auto val="1"/>
        <c:lblAlgn val="ctr"/>
        <c:lblOffset val="100"/>
        <c:noMultiLvlLbl val="0"/>
      </c:catAx>
      <c:valAx>
        <c:axId val="1878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428626</xdr:colOff>
      <xdr:row>7</xdr:row>
      <xdr:rowOff>66674</xdr:rowOff>
    </xdr:from>
    <xdr:to>
      <xdr:col>16</xdr:col>
      <xdr:colOff>85725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824A7-298A-67CD-A256-B63DE6C20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14</xdr:col>
      <xdr:colOff>466725</xdr:colOff>
      <xdr:row>40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014D16-D5D2-43E8-A562-BF3345F65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15</xdr:row>
      <xdr:rowOff>161925</xdr:rowOff>
    </xdr:from>
    <xdr:to>
      <xdr:col>11</xdr:col>
      <xdr:colOff>552450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4</xdr:row>
      <xdr:rowOff>4762</xdr:rowOff>
    </xdr:from>
    <xdr:to>
      <xdr:col>14</xdr:col>
      <xdr:colOff>290512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C5936D-2F54-9AE6-D0FB-4BFD05F50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4</xdr:row>
      <xdr:rowOff>14287</xdr:rowOff>
    </xdr:from>
    <xdr:to>
      <xdr:col>22</xdr:col>
      <xdr:colOff>319087</xdr:colOff>
      <xdr:row>18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B6F0E6-119D-FE3A-718F-85325DD3F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CS" refreshedDate="45625.495039583337" createdVersion="8" refreshedVersion="4" minRefreshableVersion="3" recordCount="76" xr:uid="{00000000-000A-0000-FFFF-FFFF00000000}">
  <cacheSource type="worksheet">
    <worksheetSource name="Table1"/>
  </cacheSource>
  <cacheFields count="9">
    <cacheField name="Date" numFmtId="14">
      <sharedItems containsSemiMixedTypes="0" containsNonDate="0" containsDate="1" containsString="0" minDate="2024-01-05T00:00:00" maxDate="2024-03-31T00:00:00" count="76"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30T00:00:00"/>
      </sharedItems>
      <fieldGroup par="8"/>
    </cacheField>
    <cacheField name="Region" numFmtId="0">
      <sharedItems count="6">
        <s v="Barishal"/>
        <s v="Chittagong"/>
        <s v="Khulna"/>
        <s v="Rajshahi"/>
        <s v="Sylhet"/>
        <s v="Dhaka"/>
      </sharedItems>
    </cacheField>
    <cacheField name="Sales Rep" numFmtId="0">
      <sharedItems count="6">
        <s v="Arif Hossain"/>
        <s v="Oishi Das"/>
        <s v="Parvez Hasan"/>
        <s v="Nabila Sultana"/>
        <s v="Eva Karim"/>
        <s v="Farhan Islam"/>
      </sharedItems>
    </cacheField>
    <cacheField name="Product" numFmtId="0">
      <sharedItems count="4">
        <s v="Laptop"/>
        <s v="Desktop"/>
        <s v="Tablet"/>
        <s v="Smartphone"/>
      </sharedItems>
    </cacheField>
    <cacheField name="Quantity" numFmtId="0">
      <sharedItems containsSemiMixedTypes="0" containsString="0" containsNumber="1" containsInteger="1" minValue="3" maxValue="20" count="14">
        <n v="5"/>
        <n v="10"/>
        <n v="7"/>
        <n v="15"/>
        <n v="3"/>
        <n v="6"/>
        <n v="4"/>
        <n v="8"/>
        <n v="12"/>
        <n v="9"/>
        <n v="11"/>
        <n v="13"/>
        <n v="14"/>
        <n v="20"/>
      </sharedItems>
    </cacheField>
    <cacheField name="Unit Price (BDT)" numFmtId="0">
      <sharedItems containsSemiMixedTypes="0" containsString="0" containsNumber="1" containsInteger="1" minValue="20000" maxValue="70000" count="4">
        <n v="70000"/>
        <n v="50000"/>
        <n v="20000"/>
        <n v="30000"/>
      </sharedItems>
    </cacheField>
    <cacheField name="Total Sales (BDT)" numFmtId="0">
      <sharedItems containsSemiMixedTypes="0" containsString="0" containsNumber="1" containsInteger="1" minValue="80000" maxValue="840000" count="31">
        <n v="350000"/>
        <n v="500000"/>
        <n v="140000"/>
        <n v="450000"/>
        <n v="210000"/>
        <n v="300000"/>
        <n v="80000"/>
        <n v="560000"/>
        <n v="600000"/>
        <n v="180000"/>
        <n v="150000"/>
        <n v="770000"/>
        <n v="120000"/>
        <n v="390000"/>
        <n v="630000"/>
        <n v="400000"/>
        <n v="280000"/>
        <n v="700000"/>
        <n v="250000"/>
        <n v="160000"/>
        <n v="490000"/>
        <n v="200000"/>
        <n v="100000"/>
        <n v="550000"/>
        <n v="240000"/>
        <n v="220000"/>
        <n v="420000"/>
        <n v="260000"/>
        <n v="840000"/>
        <n v="360000"/>
        <n v="270000"/>
      </sharedItems>
    </cacheField>
    <cacheField name="Days (Date)" numFmtId="0" databaseField="0">
      <fieldGroup base="0">
        <rangePr groupBy="days" startDate="2024-01-05T00:00:00" endDate="2024-03-31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4"/>
        </groupItems>
      </fieldGroup>
    </cacheField>
    <cacheField name="Months (Date)" numFmtId="0" databaseField="0">
      <fieldGroup base="0">
        <rangePr groupBy="months" startDate="2024-01-05T00:00:00" endDate="2024-03-31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CS" refreshedDate="45625.556537268516" createdVersion="4" refreshedVersion="4" minRefreshableVersion="3" recordCount="6" xr:uid="{00000000-000A-0000-FFFF-FFFF01000000}">
  <cacheSource type="worksheet">
    <worksheetSource name="Table5"/>
  </cacheSource>
  <cacheFields count="6">
    <cacheField name="ID" numFmtId="0">
      <sharedItems containsSemiMixedTypes="0" containsString="0" containsNumber="1" containsInteger="1" minValue="1" maxValue="6"/>
    </cacheField>
    <cacheField name="Name" numFmtId="0">
      <sharedItems count="6">
        <s v="Parvez Hasan"/>
        <s v="Arif Hossain"/>
        <s v="Nabila Sultana"/>
        <s v="Eva Karim"/>
        <s v="Oishi Das"/>
        <s v="Farhan Islam"/>
      </sharedItems>
    </cacheField>
    <cacheField name="Salary" numFmtId="0">
      <sharedItems containsSemiMixedTypes="0" containsString="0" containsNumber="1" containsInteger="1" minValue="30000" maxValue="30000"/>
    </cacheField>
    <cacheField name="Sales" numFmtId="0">
      <sharedItems containsSemiMixedTypes="0" containsString="0" containsNumber="1" containsInteger="1" minValue="700000" maxValue="3340000"/>
    </cacheField>
    <cacheField name="Bonus" numFmtId="0">
      <sharedItems containsSemiMixedTypes="0" containsString="0" containsNumber="1" containsInteger="1" minValue="42000" maxValue="334000"/>
    </cacheField>
    <cacheField name="Total" numFmtId="0">
      <sharedItems containsSemiMixedTypes="0" containsString="0" containsNumber="1" containsInteger="1" minValue="72000" maxValue="3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0"/>
    <x v="4"/>
    <x v="0"/>
    <x v="4"/>
  </r>
  <r>
    <x v="5"/>
    <x v="5"/>
    <x v="5"/>
    <x v="1"/>
    <x v="5"/>
    <x v="1"/>
    <x v="5"/>
  </r>
  <r>
    <x v="6"/>
    <x v="1"/>
    <x v="2"/>
    <x v="2"/>
    <x v="6"/>
    <x v="2"/>
    <x v="6"/>
  </r>
  <r>
    <x v="7"/>
    <x v="2"/>
    <x v="3"/>
    <x v="3"/>
    <x v="1"/>
    <x v="3"/>
    <x v="5"/>
  </r>
  <r>
    <x v="8"/>
    <x v="0"/>
    <x v="0"/>
    <x v="0"/>
    <x v="7"/>
    <x v="0"/>
    <x v="7"/>
  </r>
  <r>
    <x v="9"/>
    <x v="4"/>
    <x v="0"/>
    <x v="1"/>
    <x v="8"/>
    <x v="1"/>
    <x v="8"/>
  </r>
  <r>
    <x v="10"/>
    <x v="5"/>
    <x v="1"/>
    <x v="2"/>
    <x v="9"/>
    <x v="2"/>
    <x v="9"/>
  </r>
  <r>
    <x v="11"/>
    <x v="1"/>
    <x v="2"/>
    <x v="3"/>
    <x v="0"/>
    <x v="3"/>
    <x v="10"/>
  </r>
  <r>
    <x v="12"/>
    <x v="2"/>
    <x v="3"/>
    <x v="0"/>
    <x v="10"/>
    <x v="0"/>
    <x v="11"/>
  </r>
  <r>
    <x v="13"/>
    <x v="3"/>
    <x v="4"/>
    <x v="1"/>
    <x v="2"/>
    <x v="1"/>
    <x v="0"/>
  </r>
  <r>
    <x v="14"/>
    <x v="4"/>
    <x v="5"/>
    <x v="2"/>
    <x v="5"/>
    <x v="2"/>
    <x v="12"/>
  </r>
  <r>
    <x v="15"/>
    <x v="5"/>
    <x v="2"/>
    <x v="3"/>
    <x v="11"/>
    <x v="3"/>
    <x v="13"/>
  </r>
  <r>
    <x v="16"/>
    <x v="0"/>
    <x v="3"/>
    <x v="0"/>
    <x v="9"/>
    <x v="0"/>
    <x v="14"/>
  </r>
  <r>
    <x v="17"/>
    <x v="2"/>
    <x v="4"/>
    <x v="1"/>
    <x v="7"/>
    <x v="1"/>
    <x v="15"/>
  </r>
  <r>
    <x v="18"/>
    <x v="3"/>
    <x v="5"/>
    <x v="2"/>
    <x v="12"/>
    <x v="2"/>
    <x v="16"/>
  </r>
  <r>
    <x v="19"/>
    <x v="4"/>
    <x v="2"/>
    <x v="3"/>
    <x v="2"/>
    <x v="3"/>
    <x v="4"/>
  </r>
  <r>
    <x v="20"/>
    <x v="5"/>
    <x v="3"/>
    <x v="0"/>
    <x v="1"/>
    <x v="0"/>
    <x v="17"/>
  </r>
  <r>
    <x v="21"/>
    <x v="1"/>
    <x v="0"/>
    <x v="1"/>
    <x v="0"/>
    <x v="1"/>
    <x v="18"/>
  </r>
  <r>
    <x v="22"/>
    <x v="0"/>
    <x v="1"/>
    <x v="2"/>
    <x v="7"/>
    <x v="2"/>
    <x v="19"/>
  </r>
  <r>
    <x v="23"/>
    <x v="3"/>
    <x v="2"/>
    <x v="3"/>
    <x v="5"/>
    <x v="3"/>
    <x v="9"/>
  </r>
  <r>
    <x v="24"/>
    <x v="4"/>
    <x v="3"/>
    <x v="0"/>
    <x v="2"/>
    <x v="0"/>
    <x v="20"/>
  </r>
  <r>
    <x v="25"/>
    <x v="5"/>
    <x v="4"/>
    <x v="0"/>
    <x v="7"/>
    <x v="0"/>
    <x v="7"/>
  </r>
  <r>
    <x v="26"/>
    <x v="1"/>
    <x v="5"/>
    <x v="1"/>
    <x v="5"/>
    <x v="1"/>
    <x v="5"/>
  </r>
  <r>
    <x v="27"/>
    <x v="2"/>
    <x v="2"/>
    <x v="2"/>
    <x v="1"/>
    <x v="2"/>
    <x v="21"/>
  </r>
  <r>
    <x v="28"/>
    <x v="3"/>
    <x v="0"/>
    <x v="3"/>
    <x v="13"/>
    <x v="3"/>
    <x v="8"/>
  </r>
  <r>
    <x v="29"/>
    <x v="0"/>
    <x v="4"/>
    <x v="0"/>
    <x v="6"/>
    <x v="0"/>
    <x v="16"/>
  </r>
  <r>
    <x v="30"/>
    <x v="5"/>
    <x v="5"/>
    <x v="1"/>
    <x v="9"/>
    <x v="1"/>
    <x v="3"/>
  </r>
  <r>
    <x v="31"/>
    <x v="1"/>
    <x v="4"/>
    <x v="2"/>
    <x v="0"/>
    <x v="2"/>
    <x v="22"/>
  </r>
  <r>
    <x v="32"/>
    <x v="0"/>
    <x v="5"/>
    <x v="3"/>
    <x v="3"/>
    <x v="3"/>
    <x v="3"/>
  </r>
  <r>
    <x v="33"/>
    <x v="3"/>
    <x v="2"/>
    <x v="0"/>
    <x v="2"/>
    <x v="0"/>
    <x v="20"/>
  </r>
  <r>
    <x v="34"/>
    <x v="4"/>
    <x v="3"/>
    <x v="1"/>
    <x v="10"/>
    <x v="1"/>
    <x v="23"/>
  </r>
  <r>
    <x v="35"/>
    <x v="5"/>
    <x v="0"/>
    <x v="2"/>
    <x v="8"/>
    <x v="2"/>
    <x v="24"/>
  </r>
  <r>
    <x v="36"/>
    <x v="1"/>
    <x v="0"/>
    <x v="3"/>
    <x v="1"/>
    <x v="3"/>
    <x v="5"/>
  </r>
  <r>
    <x v="37"/>
    <x v="2"/>
    <x v="1"/>
    <x v="0"/>
    <x v="9"/>
    <x v="0"/>
    <x v="14"/>
  </r>
  <r>
    <x v="38"/>
    <x v="3"/>
    <x v="2"/>
    <x v="1"/>
    <x v="7"/>
    <x v="1"/>
    <x v="15"/>
  </r>
  <r>
    <x v="39"/>
    <x v="4"/>
    <x v="3"/>
    <x v="2"/>
    <x v="10"/>
    <x v="2"/>
    <x v="25"/>
  </r>
  <r>
    <x v="40"/>
    <x v="0"/>
    <x v="4"/>
    <x v="3"/>
    <x v="12"/>
    <x v="3"/>
    <x v="26"/>
  </r>
  <r>
    <x v="41"/>
    <x v="1"/>
    <x v="5"/>
    <x v="0"/>
    <x v="1"/>
    <x v="0"/>
    <x v="17"/>
  </r>
  <r>
    <x v="42"/>
    <x v="2"/>
    <x v="2"/>
    <x v="1"/>
    <x v="9"/>
    <x v="1"/>
    <x v="3"/>
  </r>
  <r>
    <x v="43"/>
    <x v="3"/>
    <x v="3"/>
    <x v="2"/>
    <x v="11"/>
    <x v="2"/>
    <x v="27"/>
  </r>
  <r>
    <x v="44"/>
    <x v="4"/>
    <x v="4"/>
    <x v="3"/>
    <x v="7"/>
    <x v="3"/>
    <x v="24"/>
  </r>
  <r>
    <x v="45"/>
    <x v="5"/>
    <x v="5"/>
    <x v="0"/>
    <x v="8"/>
    <x v="0"/>
    <x v="28"/>
  </r>
  <r>
    <x v="46"/>
    <x v="1"/>
    <x v="2"/>
    <x v="1"/>
    <x v="2"/>
    <x v="1"/>
    <x v="0"/>
  </r>
  <r>
    <x v="47"/>
    <x v="2"/>
    <x v="3"/>
    <x v="2"/>
    <x v="9"/>
    <x v="2"/>
    <x v="9"/>
  </r>
  <r>
    <x v="48"/>
    <x v="0"/>
    <x v="0"/>
    <x v="3"/>
    <x v="8"/>
    <x v="3"/>
    <x v="29"/>
  </r>
  <r>
    <x v="49"/>
    <x v="4"/>
    <x v="1"/>
    <x v="0"/>
    <x v="0"/>
    <x v="0"/>
    <x v="0"/>
  </r>
  <r>
    <x v="50"/>
    <x v="5"/>
    <x v="0"/>
    <x v="0"/>
    <x v="8"/>
    <x v="0"/>
    <x v="28"/>
  </r>
  <r>
    <x v="51"/>
    <x v="1"/>
    <x v="0"/>
    <x v="1"/>
    <x v="7"/>
    <x v="1"/>
    <x v="15"/>
  </r>
  <r>
    <x v="52"/>
    <x v="2"/>
    <x v="4"/>
    <x v="2"/>
    <x v="2"/>
    <x v="2"/>
    <x v="2"/>
  </r>
  <r>
    <x v="53"/>
    <x v="3"/>
    <x v="5"/>
    <x v="3"/>
    <x v="9"/>
    <x v="3"/>
    <x v="30"/>
  </r>
  <r>
    <x v="54"/>
    <x v="4"/>
    <x v="4"/>
    <x v="0"/>
    <x v="5"/>
    <x v="0"/>
    <x v="26"/>
  </r>
  <r>
    <x v="55"/>
    <x v="0"/>
    <x v="5"/>
    <x v="1"/>
    <x v="1"/>
    <x v="1"/>
    <x v="1"/>
  </r>
  <r>
    <x v="56"/>
    <x v="1"/>
    <x v="2"/>
    <x v="2"/>
    <x v="7"/>
    <x v="2"/>
    <x v="19"/>
  </r>
  <r>
    <x v="57"/>
    <x v="0"/>
    <x v="3"/>
    <x v="3"/>
    <x v="11"/>
    <x v="3"/>
    <x v="13"/>
  </r>
  <r>
    <x v="58"/>
    <x v="3"/>
    <x v="0"/>
    <x v="0"/>
    <x v="9"/>
    <x v="0"/>
    <x v="14"/>
  </r>
  <r>
    <x v="59"/>
    <x v="4"/>
    <x v="2"/>
    <x v="1"/>
    <x v="0"/>
    <x v="1"/>
    <x v="18"/>
  </r>
  <r>
    <x v="60"/>
    <x v="5"/>
    <x v="1"/>
    <x v="2"/>
    <x v="10"/>
    <x v="2"/>
    <x v="25"/>
  </r>
  <r>
    <x v="61"/>
    <x v="1"/>
    <x v="2"/>
    <x v="3"/>
    <x v="12"/>
    <x v="3"/>
    <x v="26"/>
  </r>
  <r>
    <x v="62"/>
    <x v="2"/>
    <x v="3"/>
    <x v="0"/>
    <x v="1"/>
    <x v="0"/>
    <x v="17"/>
  </r>
  <r>
    <x v="63"/>
    <x v="3"/>
    <x v="4"/>
    <x v="1"/>
    <x v="5"/>
    <x v="1"/>
    <x v="5"/>
  </r>
  <r>
    <x v="64"/>
    <x v="0"/>
    <x v="5"/>
    <x v="2"/>
    <x v="7"/>
    <x v="2"/>
    <x v="19"/>
  </r>
  <r>
    <x v="65"/>
    <x v="5"/>
    <x v="2"/>
    <x v="3"/>
    <x v="8"/>
    <x v="3"/>
    <x v="29"/>
  </r>
  <r>
    <x v="66"/>
    <x v="1"/>
    <x v="3"/>
    <x v="0"/>
    <x v="9"/>
    <x v="0"/>
    <x v="14"/>
  </r>
  <r>
    <x v="67"/>
    <x v="0"/>
    <x v="1"/>
    <x v="1"/>
    <x v="2"/>
    <x v="1"/>
    <x v="0"/>
  </r>
  <r>
    <x v="68"/>
    <x v="3"/>
    <x v="2"/>
    <x v="2"/>
    <x v="12"/>
    <x v="2"/>
    <x v="16"/>
  </r>
  <r>
    <x v="69"/>
    <x v="4"/>
    <x v="3"/>
    <x v="3"/>
    <x v="7"/>
    <x v="3"/>
    <x v="24"/>
  </r>
  <r>
    <x v="70"/>
    <x v="5"/>
    <x v="4"/>
    <x v="0"/>
    <x v="10"/>
    <x v="0"/>
    <x v="11"/>
  </r>
  <r>
    <x v="71"/>
    <x v="0"/>
    <x v="5"/>
    <x v="1"/>
    <x v="0"/>
    <x v="1"/>
    <x v="18"/>
  </r>
  <r>
    <x v="72"/>
    <x v="2"/>
    <x v="2"/>
    <x v="2"/>
    <x v="1"/>
    <x v="2"/>
    <x v="21"/>
  </r>
  <r>
    <x v="73"/>
    <x v="3"/>
    <x v="3"/>
    <x v="3"/>
    <x v="9"/>
    <x v="3"/>
    <x v="30"/>
  </r>
  <r>
    <x v="74"/>
    <x v="4"/>
    <x v="5"/>
    <x v="0"/>
    <x v="1"/>
    <x v="0"/>
    <x v="17"/>
  </r>
  <r>
    <x v="75"/>
    <x v="0"/>
    <x v="3"/>
    <x v="3"/>
    <x v="0"/>
    <x v="3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n v="1"/>
    <x v="0"/>
    <n v="30000"/>
    <n v="1150000"/>
    <n v="92000"/>
    <n v="122000"/>
  </r>
  <r>
    <n v="2"/>
    <x v="1"/>
    <n v="30000"/>
    <n v="1760000"/>
    <n v="140800"/>
    <n v="170800"/>
  </r>
  <r>
    <n v="3"/>
    <x v="2"/>
    <n v="30000"/>
    <n v="3340000"/>
    <n v="334000"/>
    <n v="364000"/>
  </r>
  <r>
    <n v="4"/>
    <x v="3"/>
    <n v="30000"/>
    <n v="960000"/>
    <n v="57600"/>
    <n v="87600"/>
  </r>
  <r>
    <n v="5"/>
    <x v="4"/>
    <n v="30000"/>
    <n v="840000"/>
    <n v="50400"/>
    <n v="80400"/>
  </r>
  <r>
    <n v="6"/>
    <x v="5"/>
    <n v="30000"/>
    <n v="700000"/>
    <n v="42000"/>
    <n v="7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K49:M52" firstHeaderRow="1" firstDataRow="2" firstDataCol="1"/>
  <pivotFields count="9"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axis="axisRow" showAll="0">
      <items count="7">
        <item x="0"/>
        <item h="1" x="4"/>
        <item h="1" x="5"/>
        <item h="1" x="3"/>
        <item h="1" x="1"/>
        <item h="1" x="2"/>
        <item t="default"/>
      </items>
    </pivotField>
    <pivotField axis="axisCol" showAll="0">
      <items count="5">
        <item h="1" x="1"/>
        <item h="1" x="0"/>
        <item x="3"/>
        <item h="1" x="2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3"/>
  </colFields>
  <colItems count="2">
    <i>
      <x v="2"/>
    </i>
    <i t="grand">
      <x/>
    </i>
  </colItems>
  <dataFields count="1">
    <dataField name="Sum of Quantity" fld="4" baseField="0" baseItem="0"/>
  </dataFields>
  <formats count="10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8">
  <location ref="K24:P26" firstHeaderRow="1" firstDataRow="2" firstDataCol="1"/>
  <pivotFields count="9"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 (BDT)" fld="6" baseField="0" baseItem="0"/>
  </dataFields>
  <formats count="1">
    <format dxfId="46">
      <pivotArea type="all" dataOnly="0" outline="0" fieldPosition="0"/>
    </format>
  </format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C19:D26" firstHeaderRow="1" firstDataRow="1" firstDataCol="1"/>
  <pivotFields count="6"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5" baseField="0" baseItem="0"/>
  </dataFields>
  <formats count="3">
    <format dxfId="26">
      <pivotArea type="all" dataOnly="0" outline="0" fieldPosition="0"/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92632-A6F9-4390-A97A-AF009D721D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7:S33" firstHeaderRow="1" firstDataRow="2" firstDataCol="1"/>
  <pivotFields count="9"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 v="1"/>
    </i>
    <i>
      <x v="2"/>
    </i>
    <i>
      <x v="3"/>
    </i>
    <i t="grand">
      <x/>
    </i>
  </colItems>
  <dataFields count="1">
    <dataField name="Sum of Quantity" fld="4" baseField="0" baseItem="0"/>
  </dataFields>
  <formats count="14">
    <format dxfId="16">
      <pivotArea type="all" dataOnly="0" outline="0" fieldPosition="0"/>
    </format>
    <format dxfId="15">
      <pivotArea field="8" grandRow="1" outline="0" collapsedLevelsAreSubtotals="1" axis="axisCol" fieldPosition="0">
        <references count="1">
          <reference field="8" count="1" selected="0">
            <x v="1"/>
          </reference>
        </references>
      </pivotArea>
    </format>
    <format dxfId="14">
      <pivotArea field="8" grandRow="1" outline="0" collapsedLevelsAreSubtotals="1" axis="axisCol" fieldPosition="0">
        <references count="1">
          <reference field="8" count="1" selected="0">
            <x v="1"/>
          </reference>
        </references>
      </pivotArea>
    </format>
    <format dxfId="11">
      <pivotArea field="8" grandRow="1" outline="0" collapsedLevelsAreSubtotals="1" axis="axisCol" fieldPosition="0">
        <references count="1">
          <reference field="8" count="1" selected="0">
            <x v="1"/>
          </reference>
        </references>
      </pivotArea>
    </format>
    <format dxfId="10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8" count="3">
            <x v="1"/>
            <x v="2"/>
            <x v="3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5419B-EFD4-4E0E-BDBE-235F5926B0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7:G29" firstHeaderRow="1" firstDataRow="2" firstDataCol="1"/>
  <pivotFields count="9">
    <pivotField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showAll="0"/>
    <pivotField showAll="0"/>
    <pivotField showAll="0"/>
    <pivotField showAll="0"/>
    <pivotField dataField="1" showAll="0">
      <items count="32">
        <item x="6"/>
        <item x="22"/>
        <item x="12"/>
        <item x="2"/>
        <item x="10"/>
        <item x="19"/>
        <item x="9"/>
        <item x="21"/>
        <item x="4"/>
        <item x="25"/>
        <item x="24"/>
        <item x="18"/>
        <item x="27"/>
        <item x="30"/>
        <item x="16"/>
        <item x="5"/>
        <item x="0"/>
        <item x="29"/>
        <item x="13"/>
        <item x="15"/>
        <item x="26"/>
        <item x="3"/>
        <item x="20"/>
        <item x="1"/>
        <item x="23"/>
        <item x="7"/>
        <item x="8"/>
        <item x="14"/>
        <item x="17"/>
        <item x="11"/>
        <item x="28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8"/>
  </colFields>
  <colItems count="4">
    <i>
      <x v="1"/>
    </i>
    <i>
      <x v="2"/>
    </i>
    <i>
      <x v="3"/>
    </i>
    <i t="grand">
      <x/>
    </i>
  </colItems>
  <dataFields count="1">
    <dataField name="Sum of Total Sales (BDT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79" totalsRowShown="0" headerRowDxfId="35" dataDxfId="34">
  <autoFilter ref="A3:G79" xr:uid="{00000000-0009-0000-0100-000001000000}"/>
  <tableColumns count="7">
    <tableColumn id="1" xr3:uid="{00000000-0010-0000-0000-000001000000}" name="Date" dataDxfId="33"/>
    <tableColumn id="2" xr3:uid="{00000000-0010-0000-0000-000002000000}" name="Region" dataDxfId="32"/>
    <tableColumn id="3" xr3:uid="{00000000-0010-0000-0000-000003000000}" name="Sales Rep" dataDxfId="31"/>
    <tableColumn id="4" xr3:uid="{00000000-0010-0000-0000-000004000000}" name="Product" dataDxfId="30"/>
    <tableColumn id="5" xr3:uid="{00000000-0010-0000-0000-000005000000}" name="Quantity" dataDxfId="29"/>
    <tableColumn id="6" xr3:uid="{00000000-0010-0000-0000-000006000000}" name="Unit Price (BDT)" dataDxfId="28"/>
    <tableColumn id="7" xr3:uid="{00000000-0010-0000-0000-000007000000}" name="Total Sales (BDT)" dataDxfId="27">
      <calculatedColumnFormula>E4*F4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C7:H13" totalsRowShown="0" headerRowDxfId="23">
  <autoFilter ref="C7:H13" xr:uid="{00000000-0009-0000-0100-000005000000}"/>
  <sortState xmlns:xlrd2="http://schemas.microsoft.com/office/spreadsheetml/2017/richdata2" ref="C8:D13">
    <sortCondition ref="C7:C13"/>
  </sortState>
  <tableColumns count="6">
    <tableColumn id="1" xr3:uid="{00000000-0010-0000-0100-000001000000}" name="ID" dataDxfId="22"/>
    <tableColumn id="2" xr3:uid="{00000000-0010-0000-0100-000002000000}" name="Name" dataDxfId="21"/>
    <tableColumn id="3" xr3:uid="{00000000-0010-0000-0100-000003000000}" name="Salary" dataDxfId="20"/>
    <tableColumn id="4" xr3:uid="{00000000-0010-0000-0100-000004000000}" name="Sales" dataDxfId="19"/>
    <tableColumn id="5" xr3:uid="{00000000-0010-0000-0100-000005000000}" name="Bonus" dataDxfId="18">
      <calculatedColumnFormula>IF(Table5[[#This Row],[Sales]]&gt;=2000000,Table5[[#This Row],[Sales]]*10%,IF(Table5[[#This Row],[Sales]]&gt;=1000000,Table5[[#This Row],[Sales]]*8%,Table5[[#This Row],[Sales]]*6%))</calculatedColumnFormula>
    </tableColumn>
    <tableColumn id="6" xr3:uid="{00000000-0010-0000-0100-000006000000}" name="Total" dataDxfId="17">
      <calculatedColumnFormula>SUM(Table5[[#This Row],[Salary]]+Table5[[#This Row],[Bonus]])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"/>
  <sheetViews>
    <sheetView topLeftCell="A66" workbookViewId="0">
      <selection activeCell="E5" sqref="E5"/>
    </sheetView>
  </sheetViews>
  <sheetFormatPr defaultRowHeight="15" x14ac:dyDescent="0.25"/>
  <cols>
    <col min="1" max="1" width="12.28515625" customWidth="1"/>
    <col min="2" max="2" width="10.28515625" customWidth="1"/>
    <col min="3" max="3" width="14.5703125" customWidth="1"/>
    <col min="4" max="4" width="12.7109375" customWidth="1"/>
    <col min="5" max="5" width="10.85546875" customWidth="1"/>
    <col min="6" max="6" width="17.140625" customWidth="1"/>
    <col min="7" max="7" width="17.85546875" customWidth="1"/>
    <col min="11" max="11" width="22.7109375" customWidth="1"/>
    <col min="12" max="12" width="16.28515625" bestFit="1" customWidth="1"/>
    <col min="13" max="13" width="9" customWidth="1"/>
    <col min="14" max="14" width="11.85546875" bestFit="1" customWidth="1"/>
    <col min="15" max="15" width="8" bestFit="1" customWidth="1"/>
    <col min="16" max="16" width="11.28515625" bestFit="1" customWidth="1"/>
  </cols>
  <sheetData>
    <row r="1" spans="1:16" ht="15.75" thickBot="1" x14ac:dyDescent="0.3">
      <c r="A1" s="26" t="s">
        <v>0</v>
      </c>
      <c r="B1" s="26"/>
      <c r="C1" s="26"/>
      <c r="D1" s="26"/>
      <c r="E1" s="26"/>
      <c r="F1" s="26"/>
      <c r="G1" s="26"/>
    </row>
    <row r="2" spans="1:16" ht="15.75" thickBot="1" x14ac:dyDescent="0.3">
      <c r="A2" s="26"/>
      <c r="B2" s="26"/>
      <c r="C2" s="26"/>
      <c r="D2" s="26"/>
      <c r="E2" s="26"/>
      <c r="F2" s="26"/>
      <c r="G2" s="26"/>
      <c r="J2" s="13" t="s">
        <v>29</v>
      </c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16" ht="30.75" customHeight="1" x14ac:dyDescent="0.25">
      <c r="A4" s="2">
        <v>45296</v>
      </c>
      <c r="B4" s="3" t="s">
        <v>8</v>
      </c>
      <c r="C4" s="3" t="s">
        <v>9</v>
      </c>
      <c r="D4" s="3" t="s">
        <v>10</v>
      </c>
      <c r="E4" s="3">
        <v>5</v>
      </c>
      <c r="F4" s="3">
        <v>70000</v>
      </c>
      <c r="G4" s="3">
        <f>E4*F4</f>
        <v>350000</v>
      </c>
      <c r="K4" s="6" t="s">
        <v>8</v>
      </c>
      <c r="L4" s="6" t="s">
        <v>25</v>
      </c>
      <c r="M4" s="6" t="s">
        <v>14</v>
      </c>
      <c r="N4" s="6" t="s">
        <v>17</v>
      </c>
      <c r="O4" s="6" t="s">
        <v>20</v>
      </c>
      <c r="P4" s="6" t="s">
        <v>22</v>
      </c>
    </row>
    <row r="5" spans="1:16" ht="30" x14ac:dyDescent="0.25">
      <c r="A5" s="2">
        <v>45297</v>
      </c>
      <c r="B5" s="3" t="s">
        <v>11</v>
      </c>
      <c r="C5" s="3" t="s">
        <v>12</v>
      </c>
      <c r="D5" s="3" t="s">
        <v>13</v>
      </c>
      <c r="E5" s="3">
        <v>10</v>
      </c>
      <c r="F5" s="3">
        <v>50000</v>
      </c>
      <c r="G5" s="3">
        <f t="shared" ref="G5:G68" si="0">E5*F5</f>
        <v>500000</v>
      </c>
      <c r="K5" s="5">
        <f>SUMIF(B4:B79,"Barishal",G4:G79)</f>
        <v>5010000</v>
      </c>
      <c r="L5" s="5">
        <f>SUMIF(B4:B79,"chittagong",G4:G79)</f>
        <v>4340000</v>
      </c>
      <c r="M5" s="5">
        <f>SUMIF(B4:B79,"Khulna",G4:G79)</f>
        <v>4110000</v>
      </c>
      <c r="N5" s="5">
        <f>SUMIF(B4:B79,"Rajshahi",G4:G79)</f>
        <v>4760000</v>
      </c>
      <c r="O5" s="5">
        <f>SUMIF(B4:B79,"Sylhet",G4:G79)</f>
        <v>4600000</v>
      </c>
      <c r="P5" s="5">
        <f>SUMIF(B4:B79,"Dhaka",G4:G79)</f>
        <v>5850000</v>
      </c>
    </row>
    <row r="6" spans="1:16" x14ac:dyDescent="0.25">
      <c r="A6" s="2">
        <v>45298</v>
      </c>
      <c r="B6" s="3" t="s">
        <v>14</v>
      </c>
      <c r="C6" s="3" t="s">
        <v>15</v>
      </c>
      <c r="D6" s="3" t="s">
        <v>16</v>
      </c>
      <c r="E6" s="3">
        <v>7</v>
      </c>
      <c r="F6" s="3">
        <v>20000</v>
      </c>
      <c r="G6" s="3">
        <f t="shared" si="0"/>
        <v>140000</v>
      </c>
    </row>
    <row r="7" spans="1:16" x14ac:dyDescent="0.25">
      <c r="A7" s="2">
        <v>45299</v>
      </c>
      <c r="B7" s="3" t="s">
        <v>17</v>
      </c>
      <c r="C7" s="3" t="s">
        <v>18</v>
      </c>
      <c r="D7" s="3" t="s">
        <v>19</v>
      </c>
      <c r="E7" s="3">
        <v>15</v>
      </c>
      <c r="F7" s="3">
        <v>30000</v>
      </c>
      <c r="G7" s="3">
        <f t="shared" si="0"/>
        <v>450000</v>
      </c>
    </row>
    <row r="8" spans="1:16" x14ac:dyDescent="0.25">
      <c r="A8" s="2">
        <v>45300</v>
      </c>
      <c r="B8" s="3" t="s">
        <v>20</v>
      </c>
      <c r="C8" s="3" t="s">
        <v>21</v>
      </c>
      <c r="D8" s="3" t="s">
        <v>10</v>
      </c>
      <c r="E8" s="3">
        <v>3</v>
      </c>
      <c r="F8" s="3">
        <v>70000</v>
      </c>
      <c r="G8" s="3">
        <f t="shared" si="0"/>
        <v>210000</v>
      </c>
    </row>
    <row r="9" spans="1:16" x14ac:dyDescent="0.25">
      <c r="A9" s="2">
        <v>45301</v>
      </c>
      <c r="B9" s="3" t="s">
        <v>22</v>
      </c>
      <c r="C9" s="3" t="s">
        <v>23</v>
      </c>
      <c r="D9" s="3" t="s">
        <v>13</v>
      </c>
      <c r="E9" s="3">
        <v>6</v>
      </c>
      <c r="F9" s="3">
        <v>50000</v>
      </c>
      <c r="G9" s="3">
        <f t="shared" si="0"/>
        <v>300000</v>
      </c>
    </row>
    <row r="10" spans="1:16" ht="30" x14ac:dyDescent="0.25">
      <c r="A10" s="2">
        <v>45302</v>
      </c>
      <c r="B10" s="3" t="s">
        <v>11</v>
      </c>
      <c r="C10" s="3" t="s">
        <v>15</v>
      </c>
      <c r="D10" s="3" t="s">
        <v>16</v>
      </c>
      <c r="E10" s="3">
        <v>4</v>
      </c>
      <c r="F10" s="3">
        <v>20000</v>
      </c>
      <c r="G10" s="3">
        <f t="shared" si="0"/>
        <v>80000</v>
      </c>
    </row>
    <row r="11" spans="1:16" x14ac:dyDescent="0.25">
      <c r="A11" s="2">
        <v>45303</v>
      </c>
      <c r="B11" s="3" t="s">
        <v>14</v>
      </c>
      <c r="C11" s="3" t="s">
        <v>18</v>
      </c>
      <c r="D11" s="3" t="s">
        <v>19</v>
      </c>
      <c r="E11" s="3">
        <v>10</v>
      </c>
      <c r="F11" s="3">
        <v>30000</v>
      </c>
      <c r="G11" s="3">
        <f t="shared" si="0"/>
        <v>300000</v>
      </c>
    </row>
    <row r="12" spans="1:16" x14ac:dyDescent="0.25">
      <c r="A12" s="2">
        <v>45304</v>
      </c>
      <c r="B12" s="3" t="s">
        <v>8</v>
      </c>
      <c r="C12" s="3" t="s">
        <v>9</v>
      </c>
      <c r="D12" s="3" t="s">
        <v>10</v>
      </c>
      <c r="E12" s="3">
        <v>8</v>
      </c>
      <c r="F12" s="3">
        <v>70000</v>
      </c>
      <c r="G12" s="3">
        <f t="shared" si="0"/>
        <v>560000</v>
      </c>
    </row>
    <row r="13" spans="1:16" x14ac:dyDescent="0.25">
      <c r="A13" s="2">
        <v>45305</v>
      </c>
      <c r="B13" s="3" t="s">
        <v>20</v>
      </c>
      <c r="C13" s="3" t="s">
        <v>9</v>
      </c>
      <c r="D13" s="3" t="s">
        <v>13</v>
      </c>
      <c r="E13" s="3">
        <v>12</v>
      </c>
      <c r="F13" s="3">
        <v>50000</v>
      </c>
      <c r="G13" s="3">
        <f t="shared" si="0"/>
        <v>600000</v>
      </c>
    </row>
    <row r="14" spans="1:16" x14ac:dyDescent="0.25">
      <c r="A14" s="2">
        <v>45306</v>
      </c>
      <c r="B14" s="3" t="s">
        <v>22</v>
      </c>
      <c r="C14" s="3" t="s">
        <v>12</v>
      </c>
      <c r="D14" s="3" t="s">
        <v>16</v>
      </c>
      <c r="E14" s="3">
        <v>9</v>
      </c>
      <c r="F14" s="3">
        <v>20000</v>
      </c>
      <c r="G14" s="3">
        <f t="shared" si="0"/>
        <v>180000</v>
      </c>
    </row>
    <row r="15" spans="1:16" ht="30" x14ac:dyDescent="0.25">
      <c r="A15" s="2">
        <v>45307</v>
      </c>
      <c r="B15" s="3" t="s">
        <v>11</v>
      </c>
      <c r="C15" s="3" t="s">
        <v>15</v>
      </c>
      <c r="D15" s="3" t="s">
        <v>19</v>
      </c>
      <c r="E15" s="3">
        <v>5</v>
      </c>
      <c r="F15" s="3">
        <v>30000</v>
      </c>
      <c r="G15" s="3">
        <f t="shared" si="0"/>
        <v>150000</v>
      </c>
    </row>
    <row r="16" spans="1:16" x14ac:dyDescent="0.25">
      <c r="A16" s="2">
        <v>45308</v>
      </c>
      <c r="B16" s="3" t="s">
        <v>14</v>
      </c>
      <c r="C16" s="3" t="s">
        <v>18</v>
      </c>
      <c r="D16" s="3" t="s">
        <v>10</v>
      </c>
      <c r="E16" s="3">
        <v>11</v>
      </c>
      <c r="F16" s="3">
        <v>70000</v>
      </c>
      <c r="G16" s="3">
        <f t="shared" si="0"/>
        <v>770000</v>
      </c>
    </row>
    <row r="17" spans="1:16" x14ac:dyDescent="0.25">
      <c r="A17" s="2">
        <v>45309</v>
      </c>
      <c r="B17" s="3" t="s">
        <v>17</v>
      </c>
      <c r="C17" s="3" t="s">
        <v>21</v>
      </c>
      <c r="D17" s="3" t="s">
        <v>13</v>
      </c>
      <c r="E17" s="3">
        <v>7</v>
      </c>
      <c r="F17" s="3">
        <v>50000</v>
      </c>
      <c r="G17" s="3">
        <f t="shared" si="0"/>
        <v>350000</v>
      </c>
    </row>
    <row r="18" spans="1:16" x14ac:dyDescent="0.25">
      <c r="A18" s="2">
        <v>45310</v>
      </c>
      <c r="B18" s="3" t="s">
        <v>20</v>
      </c>
      <c r="C18" s="3" t="s">
        <v>23</v>
      </c>
      <c r="D18" s="3" t="s">
        <v>16</v>
      </c>
      <c r="E18" s="3">
        <v>6</v>
      </c>
      <c r="F18" s="3">
        <v>20000</v>
      </c>
      <c r="G18" s="3">
        <f t="shared" si="0"/>
        <v>120000</v>
      </c>
    </row>
    <row r="19" spans="1:16" x14ac:dyDescent="0.25">
      <c r="A19" s="2">
        <v>45311</v>
      </c>
      <c r="B19" s="3" t="s">
        <v>22</v>
      </c>
      <c r="C19" s="3" t="s">
        <v>15</v>
      </c>
      <c r="D19" s="3" t="s">
        <v>19</v>
      </c>
      <c r="E19" s="3">
        <v>13</v>
      </c>
      <c r="F19" s="3">
        <v>30000</v>
      </c>
      <c r="G19" s="3">
        <f t="shared" si="0"/>
        <v>390000</v>
      </c>
    </row>
    <row r="20" spans="1:16" x14ac:dyDescent="0.25">
      <c r="A20" s="2">
        <v>45312</v>
      </c>
      <c r="B20" s="3" t="s">
        <v>8</v>
      </c>
      <c r="C20" s="3" t="s">
        <v>18</v>
      </c>
      <c r="D20" s="3" t="s">
        <v>10</v>
      </c>
      <c r="E20" s="3">
        <v>9</v>
      </c>
      <c r="F20" s="3">
        <v>70000</v>
      </c>
      <c r="G20" s="3">
        <f t="shared" si="0"/>
        <v>630000</v>
      </c>
    </row>
    <row r="21" spans="1:16" ht="15.75" thickBot="1" x14ac:dyDescent="0.3">
      <c r="A21" s="2">
        <v>45313</v>
      </c>
      <c r="B21" s="3" t="s">
        <v>14</v>
      </c>
      <c r="C21" s="3" t="s">
        <v>21</v>
      </c>
      <c r="D21" s="3" t="s">
        <v>13</v>
      </c>
      <c r="E21" s="3">
        <v>8</v>
      </c>
      <c r="F21" s="3">
        <v>50000</v>
      </c>
      <c r="G21" s="3">
        <f t="shared" si="0"/>
        <v>400000</v>
      </c>
    </row>
    <row r="22" spans="1:16" ht="15.75" thickBot="1" x14ac:dyDescent="0.3">
      <c r="A22" s="2">
        <v>45314</v>
      </c>
      <c r="B22" s="3" t="s">
        <v>17</v>
      </c>
      <c r="C22" s="3" t="s">
        <v>23</v>
      </c>
      <c r="D22" s="3" t="s">
        <v>16</v>
      </c>
      <c r="E22" s="3">
        <v>14</v>
      </c>
      <c r="F22" s="3">
        <v>20000</v>
      </c>
      <c r="G22" s="3">
        <f t="shared" si="0"/>
        <v>280000</v>
      </c>
      <c r="J22" s="12" t="s">
        <v>31</v>
      </c>
    </row>
    <row r="23" spans="1:16" x14ac:dyDescent="0.25">
      <c r="A23" s="2">
        <v>45315</v>
      </c>
      <c r="B23" s="3" t="s">
        <v>20</v>
      </c>
      <c r="C23" s="3" t="s">
        <v>15</v>
      </c>
      <c r="D23" s="3" t="s">
        <v>19</v>
      </c>
      <c r="E23" s="3">
        <v>7</v>
      </c>
      <c r="F23" s="3">
        <v>30000</v>
      </c>
      <c r="G23" s="3">
        <f t="shared" si="0"/>
        <v>210000</v>
      </c>
      <c r="J23" s="11"/>
    </row>
    <row r="24" spans="1:16" x14ac:dyDescent="0.25">
      <c r="A24" s="2">
        <v>45316</v>
      </c>
      <c r="B24" s="3" t="s">
        <v>22</v>
      </c>
      <c r="C24" s="3" t="s">
        <v>18</v>
      </c>
      <c r="D24" s="3" t="s">
        <v>10</v>
      </c>
      <c r="E24" s="3">
        <v>10</v>
      </c>
      <c r="F24" s="3">
        <v>70000</v>
      </c>
      <c r="G24" s="3">
        <f t="shared" si="0"/>
        <v>700000</v>
      </c>
      <c r="K24" s="4"/>
      <c r="L24" s="7" t="s">
        <v>27</v>
      </c>
      <c r="M24" s="4"/>
      <c r="N24" s="4"/>
      <c r="O24" s="4"/>
      <c r="P24" s="4"/>
    </row>
    <row r="25" spans="1:16" ht="15.75" customHeight="1" x14ac:dyDescent="0.25">
      <c r="A25" s="2">
        <v>45317</v>
      </c>
      <c r="B25" s="3" t="s">
        <v>11</v>
      </c>
      <c r="C25" s="3" t="s">
        <v>9</v>
      </c>
      <c r="D25" s="3" t="s">
        <v>13</v>
      </c>
      <c r="E25" s="3">
        <v>5</v>
      </c>
      <c r="F25" s="3">
        <v>50000</v>
      </c>
      <c r="G25" s="3">
        <f t="shared" si="0"/>
        <v>250000</v>
      </c>
      <c r="J25" s="8"/>
      <c r="K25" s="4"/>
      <c r="L25" s="4" t="s">
        <v>13</v>
      </c>
      <c r="M25" s="4" t="s">
        <v>10</v>
      </c>
      <c r="N25" s="4" t="s">
        <v>19</v>
      </c>
      <c r="O25" s="4" t="s">
        <v>16</v>
      </c>
      <c r="P25" s="4" t="s">
        <v>26</v>
      </c>
    </row>
    <row r="26" spans="1:16" x14ac:dyDescent="0.25">
      <c r="A26" s="2">
        <v>45318</v>
      </c>
      <c r="B26" s="3" t="s">
        <v>8</v>
      </c>
      <c r="C26" s="3" t="s">
        <v>12</v>
      </c>
      <c r="D26" s="3" t="s">
        <v>16</v>
      </c>
      <c r="E26" s="3">
        <v>8</v>
      </c>
      <c r="F26" s="3">
        <v>20000</v>
      </c>
      <c r="G26" s="3">
        <f t="shared" si="0"/>
        <v>160000</v>
      </c>
      <c r="K26" s="4" t="s">
        <v>28</v>
      </c>
      <c r="L26" s="4">
        <v>6950000</v>
      </c>
      <c r="M26" s="4">
        <v>12250000</v>
      </c>
      <c r="N26" s="4">
        <v>6150000</v>
      </c>
      <c r="O26" s="4">
        <v>3320000</v>
      </c>
      <c r="P26" s="4">
        <v>28670000</v>
      </c>
    </row>
    <row r="27" spans="1:16" x14ac:dyDescent="0.25">
      <c r="A27" s="2">
        <v>45319</v>
      </c>
      <c r="B27" s="3" t="s">
        <v>17</v>
      </c>
      <c r="C27" s="3" t="s">
        <v>15</v>
      </c>
      <c r="D27" s="3" t="s">
        <v>19</v>
      </c>
      <c r="E27" s="3">
        <v>6</v>
      </c>
      <c r="F27" s="3">
        <v>30000</v>
      </c>
      <c r="G27" s="3">
        <f t="shared" si="0"/>
        <v>180000</v>
      </c>
    </row>
    <row r="28" spans="1:16" x14ac:dyDescent="0.25">
      <c r="A28" s="2">
        <v>45320</v>
      </c>
      <c r="B28" s="3" t="s">
        <v>20</v>
      </c>
      <c r="C28" s="3" t="s">
        <v>18</v>
      </c>
      <c r="D28" s="3" t="s">
        <v>10</v>
      </c>
      <c r="E28" s="3">
        <v>7</v>
      </c>
      <c r="F28" s="3">
        <v>70000</v>
      </c>
      <c r="G28" s="3">
        <f t="shared" si="0"/>
        <v>490000</v>
      </c>
    </row>
    <row r="29" spans="1:16" x14ac:dyDescent="0.25">
      <c r="A29" s="2">
        <v>45323</v>
      </c>
      <c r="B29" s="3" t="s">
        <v>22</v>
      </c>
      <c r="C29" s="3" t="s">
        <v>21</v>
      </c>
      <c r="D29" s="3" t="s">
        <v>10</v>
      </c>
      <c r="E29" s="3">
        <v>8</v>
      </c>
      <c r="F29" s="3">
        <v>70000</v>
      </c>
      <c r="G29" s="3">
        <f t="shared" si="0"/>
        <v>560000</v>
      </c>
    </row>
    <row r="30" spans="1:16" ht="30" x14ac:dyDescent="0.25">
      <c r="A30" s="2">
        <v>45324</v>
      </c>
      <c r="B30" s="3" t="s">
        <v>11</v>
      </c>
      <c r="C30" s="3" t="s">
        <v>23</v>
      </c>
      <c r="D30" s="3" t="s">
        <v>13</v>
      </c>
      <c r="E30" s="3">
        <v>6</v>
      </c>
      <c r="F30" s="3">
        <v>50000</v>
      </c>
      <c r="G30" s="3">
        <f t="shared" si="0"/>
        <v>300000</v>
      </c>
    </row>
    <row r="31" spans="1:16" x14ac:dyDescent="0.25">
      <c r="A31" s="2">
        <v>45325</v>
      </c>
      <c r="B31" s="3" t="s">
        <v>14</v>
      </c>
      <c r="C31" s="3" t="s">
        <v>15</v>
      </c>
      <c r="D31" s="3" t="s">
        <v>16</v>
      </c>
      <c r="E31" s="3">
        <v>10</v>
      </c>
      <c r="F31" s="3">
        <v>20000</v>
      </c>
      <c r="G31" s="3">
        <f t="shared" si="0"/>
        <v>200000</v>
      </c>
    </row>
    <row r="32" spans="1:16" x14ac:dyDescent="0.25">
      <c r="A32" s="2">
        <v>45326</v>
      </c>
      <c r="B32" s="3" t="s">
        <v>17</v>
      </c>
      <c r="C32" s="3" t="s">
        <v>9</v>
      </c>
      <c r="D32" s="3" t="s">
        <v>19</v>
      </c>
      <c r="E32" s="3">
        <v>20</v>
      </c>
      <c r="F32" s="3">
        <v>30000</v>
      </c>
      <c r="G32" s="3">
        <f t="shared" si="0"/>
        <v>600000</v>
      </c>
    </row>
    <row r="33" spans="1:13" x14ac:dyDescent="0.25">
      <c r="A33" s="2">
        <v>45327</v>
      </c>
      <c r="B33" s="3" t="s">
        <v>8</v>
      </c>
      <c r="C33" s="3" t="s">
        <v>21</v>
      </c>
      <c r="D33" s="3" t="s">
        <v>10</v>
      </c>
      <c r="E33" s="3">
        <v>4</v>
      </c>
      <c r="F33" s="3">
        <v>70000</v>
      </c>
      <c r="G33" s="3">
        <f t="shared" si="0"/>
        <v>280000</v>
      </c>
    </row>
    <row r="34" spans="1:13" x14ac:dyDescent="0.25">
      <c r="A34" s="2">
        <v>45328</v>
      </c>
      <c r="B34" s="3" t="s">
        <v>22</v>
      </c>
      <c r="C34" s="3" t="s">
        <v>23</v>
      </c>
      <c r="D34" s="3" t="s">
        <v>13</v>
      </c>
      <c r="E34" s="3">
        <v>9</v>
      </c>
      <c r="F34" s="3">
        <v>50000</v>
      </c>
      <c r="G34" s="3">
        <f t="shared" si="0"/>
        <v>450000</v>
      </c>
    </row>
    <row r="35" spans="1:13" ht="30" x14ac:dyDescent="0.25">
      <c r="A35" s="2">
        <v>45329</v>
      </c>
      <c r="B35" s="3" t="s">
        <v>11</v>
      </c>
      <c r="C35" s="3" t="s">
        <v>21</v>
      </c>
      <c r="D35" s="3" t="s">
        <v>16</v>
      </c>
      <c r="E35" s="3">
        <v>5</v>
      </c>
      <c r="F35" s="3">
        <v>20000</v>
      </c>
      <c r="G35" s="3">
        <f t="shared" si="0"/>
        <v>100000</v>
      </c>
      <c r="K35" s="11"/>
    </row>
    <row r="36" spans="1:13" x14ac:dyDescent="0.25">
      <c r="A36" s="2">
        <v>45330</v>
      </c>
      <c r="B36" s="3" t="s">
        <v>8</v>
      </c>
      <c r="C36" s="3" t="s">
        <v>23</v>
      </c>
      <c r="D36" s="3" t="s">
        <v>19</v>
      </c>
      <c r="E36" s="3">
        <v>15</v>
      </c>
      <c r="F36" s="3">
        <v>30000</v>
      </c>
      <c r="G36" s="3">
        <f t="shared" si="0"/>
        <v>450000</v>
      </c>
      <c r="K36" s="11"/>
    </row>
    <row r="37" spans="1:13" x14ac:dyDescent="0.25">
      <c r="A37" s="2">
        <v>45331</v>
      </c>
      <c r="B37" s="3" t="s">
        <v>17</v>
      </c>
      <c r="C37" s="3" t="s">
        <v>15</v>
      </c>
      <c r="D37" s="3" t="s">
        <v>10</v>
      </c>
      <c r="E37" s="3">
        <v>7</v>
      </c>
      <c r="F37" s="3">
        <v>70000</v>
      </c>
      <c r="G37" s="3">
        <f t="shared" si="0"/>
        <v>490000</v>
      </c>
    </row>
    <row r="38" spans="1:13" x14ac:dyDescent="0.25">
      <c r="A38" s="2">
        <v>45332</v>
      </c>
      <c r="B38" s="3" t="s">
        <v>20</v>
      </c>
      <c r="C38" s="3" t="s">
        <v>18</v>
      </c>
      <c r="D38" s="3" t="s">
        <v>13</v>
      </c>
      <c r="E38" s="3">
        <v>11</v>
      </c>
      <c r="F38" s="3">
        <v>50000</v>
      </c>
      <c r="G38" s="3">
        <f t="shared" si="0"/>
        <v>550000</v>
      </c>
    </row>
    <row r="39" spans="1:13" x14ac:dyDescent="0.25">
      <c r="A39" s="2">
        <v>45333</v>
      </c>
      <c r="B39" s="3" t="s">
        <v>22</v>
      </c>
      <c r="C39" s="3" t="s">
        <v>9</v>
      </c>
      <c r="D39" s="3" t="s">
        <v>16</v>
      </c>
      <c r="E39" s="3">
        <v>12</v>
      </c>
      <c r="F39" s="3">
        <v>20000</v>
      </c>
      <c r="G39" s="3">
        <f t="shared" si="0"/>
        <v>240000</v>
      </c>
    </row>
    <row r="40" spans="1:13" ht="30" x14ac:dyDescent="0.25">
      <c r="A40" s="2">
        <v>45334</v>
      </c>
      <c r="B40" s="3" t="s">
        <v>11</v>
      </c>
      <c r="C40" s="3" t="s">
        <v>9</v>
      </c>
      <c r="D40" s="3" t="s">
        <v>19</v>
      </c>
      <c r="E40" s="3">
        <v>10</v>
      </c>
      <c r="F40" s="3">
        <v>30000</v>
      </c>
      <c r="G40" s="3">
        <f t="shared" si="0"/>
        <v>300000</v>
      </c>
    </row>
    <row r="41" spans="1:13" x14ac:dyDescent="0.25">
      <c r="A41" s="2">
        <v>45335</v>
      </c>
      <c r="B41" s="3" t="s">
        <v>14</v>
      </c>
      <c r="C41" s="3" t="s">
        <v>12</v>
      </c>
      <c r="D41" s="3" t="s">
        <v>10</v>
      </c>
      <c r="E41" s="3">
        <v>9</v>
      </c>
      <c r="F41" s="3">
        <v>70000</v>
      </c>
      <c r="G41" s="3">
        <f t="shared" si="0"/>
        <v>630000</v>
      </c>
    </row>
    <row r="42" spans="1:13" x14ac:dyDescent="0.25">
      <c r="A42" s="2">
        <v>45336</v>
      </c>
      <c r="B42" s="3" t="s">
        <v>17</v>
      </c>
      <c r="C42" s="3" t="s">
        <v>15</v>
      </c>
      <c r="D42" s="3" t="s">
        <v>13</v>
      </c>
      <c r="E42" s="3">
        <v>8</v>
      </c>
      <c r="F42" s="3">
        <v>50000</v>
      </c>
      <c r="G42" s="3">
        <f t="shared" si="0"/>
        <v>400000</v>
      </c>
    </row>
    <row r="43" spans="1:13" x14ac:dyDescent="0.25">
      <c r="A43" s="2">
        <v>45337</v>
      </c>
      <c r="B43" s="3" t="s">
        <v>20</v>
      </c>
      <c r="C43" s="3" t="s">
        <v>18</v>
      </c>
      <c r="D43" s="3" t="s">
        <v>16</v>
      </c>
      <c r="E43" s="3">
        <v>11</v>
      </c>
      <c r="F43" s="3">
        <v>20000</v>
      </c>
      <c r="G43" s="3">
        <f t="shared" si="0"/>
        <v>220000</v>
      </c>
    </row>
    <row r="44" spans="1:13" ht="25.5" customHeight="1" thickBot="1" x14ac:dyDescent="0.3">
      <c r="A44" s="2">
        <v>45338</v>
      </c>
      <c r="B44" s="3" t="s">
        <v>8</v>
      </c>
      <c r="C44" s="3" t="s">
        <v>21</v>
      </c>
      <c r="D44" s="3" t="s">
        <v>19</v>
      </c>
      <c r="E44" s="3">
        <v>14</v>
      </c>
      <c r="F44" s="3">
        <v>30000</v>
      </c>
      <c r="G44" s="3">
        <f t="shared" si="0"/>
        <v>420000</v>
      </c>
    </row>
    <row r="45" spans="1:13" ht="20.25" customHeight="1" thickBot="1" x14ac:dyDescent="0.3">
      <c r="A45" s="2">
        <v>45339</v>
      </c>
      <c r="B45" s="3" t="s">
        <v>11</v>
      </c>
      <c r="C45" s="3" t="s">
        <v>23</v>
      </c>
      <c r="D45" s="3" t="s">
        <v>10</v>
      </c>
      <c r="E45" s="3">
        <v>10</v>
      </c>
      <c r="F45" s="3">
        <v>70000</v>
      </c>
      <c r="G45" s="3">
        <f t="shared" si="0"/>
        <v>700000</v>
      </c>
      <c r="J45" s="12" t="s">
        <v>33</v>
      </c>
    </row>
    <row r="46" spans="1:13" x14ac:dyDescent="0.25">
      <c r="A46" s="2">
        <v>45340</v>
      </c>
      <c r="B46" s="3" t="s">
        <v>14</v>
      </c>
      <c r="C46" s="3" t="s">
        <v>15</v>
      </c>
      <c r="D46" s="3" t="s">
        <v>13</v>
      </c>
      <c r="E46" s="3">
        <v>9</v>
      </c>
      <c r="F46" s="3">
        <v>50000</v>
      </c>
      <c r="G46" s="3">
        <f t="shared" si="0"/>
        <v>450000</v>
      </c>
    </row>
    <row r="47" spans="1:13" x14ac:dyDescent="0.25">
      <c r="A47" s="2">
        <v>45341</v>
      </c>
      <c r="B47" s="3" t="s">
        <v>17</v>
      </c>
      <c r="C47" s="3" t="s">
        <v>18</v>
      </c>
      <c r="D47" s="3" t="s">
        <v>16</v>
      </c>
      <c r="E47" s="3">
        <v>13</v>
      </c>
      <c r="F47" s="3">
        <v>20000</v>
      </c>
      <c r="G47" s="3">
        <f t="shared" si="0"/>
        <v>260000</v>
      </c>
      <c r="K47" s="27" t="s">
        <v>30</v>
      </c>
      <c r="L47" s="27"/>
      <c r="M47" s="27"/>
    </row>
    <row r="48" spans="1:13" x14ac:dyDescent="0.25">
      <c r="A48" s="2">
        <v>45342</v>
      </c>
      <c r="B48" s="3" t="s">
        <v>20</v>
      </c>
      <c r="C48" s="3" t="s">
        <v>21</v>
      </c>
      <c r="D48" s="3" t="s">
        <v>19</v>
      </c>
      <c r="E48" s="3">
        <v>8</v>
      </c>
      <c r="F48" s="3">
        <v>30000</v>
      </c>
      <c r="G48" s="3">
        <f t="shared" si="0"/>
        <v>240000</v>
      </c>
      <c r="K48" s="5"/>
      <c r="L48" s="4"/>
      <c r="M48" s="4"/>
    </row>
    <row r="49" spans="1:13" x14ac:dyDescent="0.25">
      <c r="A49" s="2">
        <v>45343</v>
      </c>
      <c r="B49" s="3" t="s">
        <v>22</v>
      </c>
      <c r="C49" s="3" t="s">
        <v>23</v>
      </c>
      <c r="D49" s="3" t="s">
        <v>10</v>
      </c>
      <c r="E49" s="3">
        <v>12</v>
      </c>
      <c r="F49" s="3">
        <v>70000</v>
      </c>
      <c r="G49" s="3">
        <f t="shared" si="0"/>
        <v>840000</v>
      </c>
      <c r="K49" s="7" t="s">
        <v>34</v>
      </c>
      <c r="L49" s="7" t="s">
        <v>27</v>
      </c>
      <c r="M49" s="4"/>
    </row>
    <row r="50" spans="1:13" ht="30" x14ac:dyDescent="0.25">
      <c r="A50" s="2">
        <v>45344</v>
      </c>
      <c r="B50" s="3" t="s">
        <v>11</v>
      </c>
      <c r="C50" s="3" t="s">
        <v>15</v>
      </c>
      <c r="D50" s="3" t="s">
        <v>13</v>
      </c>
      <c r="E50" s="3">
        <v>7</v>
      </c>
      <c r="F50" s="3">
        <v>50000</v>
      </c>
      <c r="G50" s="3">
        <f t="shared" si="0"/>
        <v>350000</v>
      </c>
      <c r="K50" s="7" t="s">
        <v>35</v>
      </c>
      <c r="L50" s="4" t="s">
        <v>19</v>
      </c>
      <c r="M50" s="4" t="s">
        <v>26</v>
      </c>
    </row>
    <row r="51" spans="1:13" x14ac:dyDescent="0.25">
      <c r="A51" s="2">
        <v>45345</v>
      </c>
      <c r="B51" s="3" t="s">
        <v>14</v>
      </c>
      <c r="C51" s="3" t="s">
        <v>18</v>
      </c>
      <c r="D51" s="3" t="s">
        <v>16</v>
      </c>
      <c r="E51" s="3">
        <v>9</v>
      </c>
      <c r="F51" s="3">
        <v>20000</v>
      </c>
      <c r="G51" s="3">
        <f t="shared" si="0"/>
        <v>180000</v>
      </c>
      <c r="K51" s="14" t="s">
        <v>9</v>
      </c>
      <c r="L51" s="4">
        <v>42</v>
      </c>
      <c r="M51" s="4">
        <v>42</v>
      </c>
    </row>
    <row r="52" spans="1:13" x14ac:dyDescent="0.25">
      <c r="A52" s="2">
        <v>45346</v>
      </c>
      <c r="B52" s="3" t="s">
        <v>8</v>
      </c>
      <c r="C52" s="3" t="s">
        <v>9</v>
      </c>
      <c r="D52" s="3" t="s">
        <v>19</v>
      </c>
      <c r="E52" s="3">
        <v>12</v>
      </c>
      <c r="F52" s="3">
        <v>30000</v>
      </c>
      <c r="G52" s="3">
        <f t="shared" si="0"/>
        <v>360000</v>
      </c>
      <c r="K52" s="14" t="s">
        <v>26</v>
      </c>
      <c r="L52" s="4">
        <v>42</v>
      </c>
      <c r="M52" s="4">
        <v>42</v>
      </c>
    </row>
    <row r="53" spans="1:13" x14ac:dyDescent="0.25">
      <c r="A53" s="2">
        <v>45347</v>
      </c>
      <c r="B53" s="3" t="s">
        <v>20</v>
      </c>
      <c r="C53" s="3" t="s">
        <v>12</v>
      </c>
      <c r="D53" s="3" t="s">
        <v>10</v>
      </c>
      <c r="E53" s="3">
        <v>5</v>
      </c>
      <c r="F53" s="3">
        <v>70000</v>
      </c>
      <c r="G53" s="3">
        <f t="shared" si="0"/>
        <v>350000</v>
      </c>
      <c r="K53" s="4"/>
      <c r="L53" s="4"/>
      <c r="M53" s="4"/>
    </row>
    <row r="54" spans="1:13" x14ac:dyDescent="0.25">
      <c r="A54" s="2">
        <v>45352</v>
      </c>
      <c r="B54" s="3" t="s">
        <v>22</v>
      </c>
      <c r="C54" s="3" t="s">
        <v>9</v>
      </c>
      <c r="D54" s="3" t="s">
        <v>10</v>
      </c>
      <c r="E54" s="3">
        <v>12</v>
      </c>
      <c r="F54" s="3">
        <v>70000</v>
      </c>
      <c r="G54" s="3">
        <f t="shared" si="0"/>
        <v>840000</v>
      </c>
    </row>
    <row r="55" spans="1:13" ht="30" x14ac:dyDescent="0.25">
      <c r="A55" s="2">
        <v>45353</v>
      </c>
      <c r="B55" s="3" t="s">
        <v>11</v>
      </c>
      <c r="C55" s="3" t="s">
        <v>9</v>
      </c>
      <c r="D55" s="3" t="s">
        <v>13</v>
      </c>
      <c r="E55" s="3">
        <v>8</v>
      </c>
      <c r="F55" s="3">
        <v>50000</v>
      </c>
      <c r="G55" s="3">
        <f t="shared" si="0"/>
        <v>400000</v>
      </c>
    </row>
    <row r="56" spans="1:13" x14ac:dyDescent="0.25">
      <c r="A56" s="2">
        <v>45354</v>
      </c>
      <c r="B56" s="3" t="s">
        <v>14</v>
      </c>
      <c r="C56" s="3" t="s">
        <v>21</v>
      </c>
      <c r="D56" s="3" t="s">
        <v>16</v>
      </c>
      <c r="E56" s="3">
        <v>7</v>
      </c>
      <c r="F56" s="3">
        <v>20000</v>
      </c>
      <c r="G56" s="3">
        <f t="shared" si="0"/>
        <v>140000</v>
      </c>
    </row>
    <row r="57" spans="1:13" x14ac:dyDescent="0.25">
      <c r="A57" s="2">
        <v>45355</v>
      </c>
      <c r="B57" s="3" t="s">
        <v>17</v>
      </c>
      <c r="C57" s="3" t="s">
        <v>23</v>
      </c>
      <c r="D57" s="3" t="s">
        <v>19</v>
      </c>
      <c r="E57" s="3">
        <v>9</v>
      </c>
      <c r="F57" s="3">
        <v>30000</v>
      </c>
      <c r="G57" s="3">
        <f t="shared" si="0"/>
        <v>270000</v>
      </c>
    </row>
    <row r="58" spans="1:13" x14ac:dyDescent="0.25">
      <c r="A58" s="2">
        <v>45356</v>
      </c>
      <c r="B58" s="3" t="s">
        <v>20</v>
      </c>
      <c r="C58" s="3" t="s">
        <v>21</v>
      </c>
      <c r="D58" s="3" t="s">
        <v>10</v>
      </c>
      <c r="E58" s="3">
        <v>6</v>
      </c>
      <c r="F58" s="3">
        <v>70000</v>
      </c>
      <c r="G58" s="3">
        <f t="shared" si="0"/>
        <v>420000</v>
      </c>
    </row>
    <row r="59" spans="1:13" x14ac:dyDescent="0.25">
      <c r="A59" s="2">
        <v>45357</v>
      </c>
      <c r="B59" s="3" t="s">
        <v>8</v>
      </c>
      <c r="C59" s="3" t="s">
        <v>23</v>
      </c>
      <c r="D59" s="3" t="s">
        <v>13</v>
      </c>
      <c r="E59" s="3">
        <v>10</v>
      </c>
      <c r="F59" s="3">
        <v>50000</v>
      </c>
      <c r="G59" s="3">
        <f t="shared" si="0"/>
        <v>500000</v>
      </c>
    </row>
    <row r="60" spans="1:13" ht="30" x14ac:dyDescent="0.25">
      <c r="A60" s="2">
        <v>45358</v>
      </c>
      <c r="B60" s="3" t="s">
        <v>11</v>
      </c>
      <c r="C60" s="3" t="s">
        <v>15</v>
      </c>
      <c r="D60" s="3" t="s">
        <v>16</v>
      </c>
      <c r="E60" s="3">
        <v>8</v>
      </c>
      <c r="F60" s="3">
        <v>20000</v>
      </c>
      <c r="G60" s="3">
        <f t="shared" si="0"/>
        <v>160000</v>
      </c>
    </row>
    <row r="61" spans="1:13" x14ac:dyDescent="0.25">
      <c r="A61" s="2">
        <v>45359</v>
      </c>
      <c r="B61" s="3" t="s">
        <v>8</v>
      </c>
      <c r="C61" s="3" t="s">
        <v>18</v>
      </c>
      <c r="D61" s="3" t="s">
        <v>19</v>
      </c>
      <c r="E61" s="3">
        <v>13</v>
      </c>
      <c r="F61" s="3">
        <v>30000</v>
      </c>
      <c r="G61" s="3">
        <f t="shared" si="0"/>
        <v>390000</v>
      </c>
    </row>
    <row r="62" spans="1:13" x14ac:dyDescent="0.25">
      <c r="A62" s="2">
        <v>45360</v>
      </c>
      <c r="B62" s="3" t="s">
        <v>17</v>
      </c>
      <c r="C62" s="3" t="s">
        <v>9</v>
      </c>
      <c r="D62" s="3" t="s">
        <v>10</v>
      </c>
      <c r="E62" s="3">
        <v>9</v>
      </c>
      <c r="F62" s="3">
        <v>70000</v>
      </c>
      <c r="G62" s="3">
        <f t="shared" si="0"/>
        <v>630000</v>
      </c>
    </row>
    <row r="63" spans="1:13" x14ac:dyDescent="0.25">
      <c r="A63" s="2">
        <v>45361</v>
      </c>
      <c r="B63" s="3" t="s">
        <v>20</v>
      </c>
      <c r="C63" s="3" t="s">
        <v>15</v>
      </c>
      <c r="D63" s="3" t="s">
        <v>13</v>
      </c>
      <c r="E63" s="3">
        <v>5</v>
      </c>
      <c r="F63" s="3">
        <v>50000</v>
      </c>
      <c r="G63" s="3">
        <f t="shared" si="0"/>
        <v>250000</v>
      </c>
    </row>
    <row r="64" spans="1:13" x14ac:dyDescent="0.25">
      <c r="A64" s="2">
        <v>45362</v>
      </c>
      <c r="B64" s="3" t="s">
        <v>22</v>
      </c>
      <c r="C64" s="3" t="s">
        <v>12</v>
      </c>
      <c r="D64" s="3" t="s">
        <v>16</v>
      </c>
      <c r="E64" s="3">
        <v>11</v>
      </c>
      <c r="F64" s="3">
        <v>20000</v>
      </c>
      <c r="G64" s="3">
        <f t="shared" si="0"/>
        <v>220000</v>
      </c>
    </row>
    <row r="65" spans="1:7" ht="30" x14ac:dyDescent="0.25">
      <c r="A65" s="2">
        <v>45363</v>
      </c>
      <c r="B65" s="3" t="s">
        <v>11</v>
      </c>
      <c r="C65" s="3" t="s">
        <v>15</v>
      </c>
      <c r="D65" s="3" t="s">
        <v>19</v>
      </c>
      <c r="E65" s="3">
        <v>14</v>
      </c>
      <c r="F65" s="3">
        <v>30000</v>
      </c>
      <c r="G65" s="3">
        <f t="shared" si="0"/>
        <v>420000</v>
      </c>
    </row>
    <row r="66" spans="1:7" x14ac:dyDescent="0.25">
      <c r="A66" s="2">
        <v>45364</v>
      </c>
      <c r="B66" s="3" t="s">
        <v>14</v>
      </c>
      <c r="C66" s="3" t="s">
        <v>18</v>
      </c>
      <c r="D66" s="3" t="s">
        <v>10</v>
      </c>
      <c r="E66" s="3">
        <v>10</v>
      </c>
      <c r="F66" s="3">
        <v>70000</v>
      </c>
      <c r="G66" s="3">
        <f t="shared" si="0"/>
        <v>700000</v>
      </c>
    </row>
    <row r="67" spans="1:7" x14ac:dyDescent="0.25">
      <c r="A67" s="2">
        <v>45365</v>
      </c>
      <c r="B67" s="3" t="s">
        <v>17</v>
      </c>
      <c r="C67" s="3" t="s">
        <v>21</v>
      </c>
      <c r="D67" s="3" t="s">
        <v>13</v>
      </c>
      <c r="E67" s="3">
        <v>6</v>
      </c>
      <c r="F67" s="3">
        <v>50000</v>
      </c>
      <c r="G67" s="3">
        <f t="shared" si="0"/>
        <v>300000</v>
      </c>
    </row>
    <row r="68" spans="1:7" x14ac:dyDescent="0.25">
      <c r="A68" s="2">
        <v>45366</v>
      </c>
      <c r="B68" s="3" t="s">
        <v>8</v>
      </c>
      <c r="C68" s="3" t="s">
        <v>23</v>
      </c>
      <c r="D68" s="3" t="s">
        <v>16</v>
      </c>
      <c r="E68" s="3">
        <v>8</v>
      </c>
      <c r="F68" s="3">
        <v>20000</v>
      </c>
      <c r="G68" s="3">
        <f t="shared" si="0"/>
        <v>160000</v>
      </c>
    </row>
    <row r="69" spans="1:7" x14ac:dyDescent="0.25">
      <c r="A69" s="2">
        <v>45367</v>
      </c>
      <c r="B69" s="3" t="s">
        <v>22</v>
      </c>
      <c r="C69" s="3" t="s">
        <v>15</v>
      </c>
      <c r="D69" s="3" t="s">
        <v>19</v>
      </c>
      <c r="E69" s="3">
        <v>12</v>
      </c>
      <c r="F69" s="3">
        <v>30000</v>
      </c>
      <c r="G69" s="3">
        <f t="shared" ref="G69:G79" si="1">E69*F69</f>
        <v>360000</v>
      </c>
    </row>
    <row r="70" spans="1:7" ht="30" x14ac:dyDescent="0.25">
      <c r="A70" s="2">
        <v>45368</v>
      </c>
      <c r="B70" s="3" t="s">
        <v>11</v>
      </c>
      <c r="C70" s="3" t="s">
        <v>18</v>
      </c>
      <c r="D70" s="3" t="s">
        <v>10</v>
      </c>
      <c r="E70" s="3">
        <v>9</v>
      </c>
      <c r="F70" s="3">
        <v>70000</v>
      </c>
      <c r="G70" s="3">
        <f t="shared" si="1"/>
        <v>630000</v>
      </c>
    </row>
    <row r="71" spans="1:7" x14ac:dyDescent="0.25">
      <c r="A71" s="2">
        <v>45369</v>
      </c>
      <c r="B71" s="3" t="s">
        <v>8</v>
      </c>
      <c r="C71" s="3" t="s">
        <v>12</v>
      </c>
      <c r="D71" s="3" t="s">
        <v>13</v>
      </c>
      <c r="E71" s="3">
        <v>7</v>
      </c>
      <c r="F71" s="3">
        <v>50000</v>
      </c>
      <c r="G71" s="3">
        <f t="shared" si="1"/>
        <v>350000</v>
      </c>
    </row>
    <row r="72" spans="1:7" x14ac:dyDescent="0.25">
      <c r="A72" s="2">
        <v>45370</v>
      </c>
      <c r="B72" s="3" t="s">
        <v>17</v>
      </c>
      <c r="C72" s="3" t="s">
        <v>15</v>
      </c>
      <c r="D72" s="3" t="s">
        <v>16</v>
      </c>
      <c r="E72" s="3">
        <v>14</v>
      </c>
      <c r="F72" s="3">
        <v>20000</v>
      </c>
      <c r="G72" s="3">
        <f>E72*F72</f>
        <v>280000</v>
      </c>
    </row>
    <row r="73" spans="1:7" x14ac:dyDescent="0.25">
      <c r="A73" s="2">
        <v>45371</v>
      </c>
      <c r="B73" s="3" t="s">
        <v>20</v>
      </c>
      <c r="C73" s="3" t="s">
        <v>18</v>
      </c>
      <c r="D73" s="3" t="s">
        <v>19</v>
      </c>
      <c r="E73" s="3">
        <v>8</v>
      </c>
      <c r="F73" s="3">
        <v>30000</v>
      </c>
      <c r="G73" s="3">
        <f t="shared" si="1"/>
        <v>240000</v>
      </c>
    </row>
    <row r="74" spans="1:7" x14ac:dyDescent="0.25">
      <c r="A74" s="2">
        <v>45372</v>
      </c>
      <c r="B74" s="3" t="s">
        <v>22</v>
      </c>
      <c r="C74" s="3" t="s">
        <v>21</v>
      </c>
      <c r="D74" s="3" t="s">
        <v>10</v>
      </c>
      <c r="E74" s="3">
        <v>11</v>
      </c>
      <c r="F74" s="3">
        <v>70000</v>
      </c>
      <c r="G74" s="3">
        <f t="shared" si="1"/>
        <v>770000</v>
      </c>
    </row>
    <row r="75" spans="1:7" x14ac:dyDescent="0.25">
      <c r="A75" s="2">
        <v>45373</v>
      </c>
      <c r="B75" s="3" t="s">
        <v>8</v>
      </c>
      <c r="C75" s="3" t="s">
        <v>23</v>
      </c>
      <c r="D75" s="3" t="s">
        <v>13</v>
      </c>
      <c r="E75" s="3">
        <v>5</v>
      </c>
      <c r="F75" s="3">
        <v>50000</v>
      </c>
      <c r="G75" s="3">
        <f t="shared" si="1"/>
        <v>250000</v>
      </c>
    </row>
    <row r="76" spans="1:7" x14ac:dyDescent="0.25">
      <c r="A76" s="2">
        <v>45374</v>
      </c>
      <c r="B76" s="3" t="s">
        <v>14</v>
      </c>
      <c r="C76" s="3" t="s">
        <v>15</v>
      </c>
      <c r="D76" s="3" t="s">
        <v>16</v>
      </c>
      <c r="E76" s="3">
        <v>10</v>
      </c>
      <c r="F76" s="3">
        <v>20000</v>
      </c>
      <c r="G76" s="3">
        <f t="shared" si="1"/>
        <v>200000</v>
      </c>
    </row>
    <row r="77" spans="1:7" x14ac:dyDescent="0.25">
      <c r="A77" s="2">
        <v>45375</v>
      </c>
      <c r="B77" s="3" t="s">
        <v>17</v>
      </c>
      <c r="C77" s="3" t="s">
        <v>18</v>
      </c>
      <c r="D77" s="3" t="s">
        <v>19</v>
      </c>
      <c r="E77" s="3">
        <v>9</v>
      </c>
      <c r="F77" s="3">
        <v>30000</v>
      </c>
      <c r="G77" s="3">
        <f t="shared" si="1"/>
        <v>270000</v>
      </c>
    </row>
    <row r="78" spans="1:7" x14ac:dyDescent="0.25">
      <c r="A78" s="2">
        <v>45376</v>
      </c>
      <c r="B78" s="3" t="s">
        <v>20</v>
      </c>
      <c r="C78" s="3" t="s">
        <v>23</v>
      </c>
      <c r="D78" s="3" t="s">
        <v>10</v>
      </c>
      <c r="E78" s="3">
        <v>10</v>
      </c>
      <c r="F78" s="3">
        <v>70000</v>
      </c>
      <c r="G78" s="3">
        <f t="shared" si="1"/>
        <v>700000</v>
      </c>
    </row>
    <row r="79" spans="1:7" x14ac:dyDescent="0.25">
      <c r="A79" s="2">
        <v>45381</v>
      </c>
      <c r="B79" s="3" t="s">
        <v>8</v>
      </c>
      <c r="C79" s="3" t="s">
        <v>18</v>
      </c>
      <c r="D79" s="3" t="s">
        <v>19</v>
      </c>
      <c r="E79" s="3">
        <v>5</v>
      </c>
      <c r="F79" s="3">
        <v>30000</v>
      </c>
      <c r="G79" s="3">
        <f t="shared" si="1"/>
        <v>150000</v>
      </c>
    </row>
    <row r="80" spans="1:7" x14ac:dyDescent="0.25">
      <c r="E80" s="9" t="s">
        <v>32</v>
      </c>
      <c r="F80" s="9" t="s">
        <v>24</v>
      </c>
      <c r="G80" s="10">
        <f>SUM(G4:G79)</f>
        <v>28670000</v>
      </c>
    </row>
  </sheetData>
  <mergeCells count="2">
    <mergeCell ref="A1:G2"/>
    <mergeCell ref="K47:M47"/>
  </mergeCells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42"/>
  <sheetViews>
    <sheetView tabSelected="1" topLeftCell="A16" workbookViewId="0">
      <selection activeCell="N24" sqref="N24"/>
    </sheetView>
  </sheetViews>
  <sheetFormatPr defaultRowHeight="15" x14ac:dyDescent="0.25"/>
  <cols>
    <col min="4" max="4" width="13.7109375" customWidth="1"/>
  </cols>
  <sheetData>
    <row r="3" spans="2:8" x14ac:dyDescent="0.25">
      <c r="B3" s="33" t="s">
        <v>94</v>
      </c>
    </row>
    <row r="5" spans="2:8" x14ac:dyDescent="0.25">
      <c r="C5" s="28" t="s">
        <v>48</v>
      </c>
      <c r="D5" s="28"/>
      <c r="E5" s="28"/>
      <c r="F5" s="28"/>
      <c r="G5" s="28"/>
      <c r="H5" s="28"/>
    </row>
    <row r="6" spans="2:8" x14ac:dyDescent="0.25">
      <c r="C6" s="29" t="s">
        <v>36</v>
      </c>
      <c r="D6" s="29"/>
      <c r="E6" s="29"/>
      <c r="F6" s="29"/>
      <c r="G6" s="29"/>
      <c r="H6" s="29"/>
    </row>
    <row r="7" spans="2:8" x14ac:dyDescent="0.25">
      <c r="C7" s="4" t="s">
        <v>37</v>
      </c>
      <c r="D7" s="4" t="s">
        <v>38</v>
      </c>
      <c r="E7" s="4" t="s">
        <v>39</v>
      </c>
      <c r="F7" s="4" t="s">
        <v>40</v>
      </c>
      <c r="G7" s="4" t="s">
        <v>43</v>
      </c>
      <c r="H7" s="4" t="s">
        <v>41</v>
      </c>
    </row>
    <row r="8" spans="2:8" x14ac:dyDescent="0.25">
      <c r="C8" s="4">
        <v>1</v>
      </c>
      <c r="D8" s="4" t="s">
        <v>15</v>
      </c>
      <c r="E8" s="4">
        <v>30000</v>
      </c>
      <c r="F8" s="4">
        <v>1150000</v>
      </c>
      <c r="G8" s="4">
        <f>IF(Table5[[#This Row],[Sales]]&gt;=2000000,Table5[[#This Row],[Sales]]*10%,IF(Table5[[#This Row],[Sales]]&gt;=1000000,Table5[[#This Row],[Sales]]*8%,Table5[[#This Row],[Sales]]*6%))</f>
        <v>92000</v>
      </c>
      <c r="H8" s="4">
        <f>SUM(Table5[[#This Row],[Salary]]+Table5[[#This Row],[Bonus]])</f>
        <v>122000</v>
      </c>
    </row>
    <row r="9" spans="2:8" x14ac:dyDescent="0.25">
      <c r="C9" s="4">
        <v>2</v>
      </c>
      <c r="D9" s="4" t="s">
        <v>9</v>
      </c>
      <c r="E9" s="4">
        <v>30000</v>
      </c>
      <c r="F9" s="4">
        <v>1760000</v>
      </c>
      <c r="G9" s="4">
        <f>IF(Table5[[#This Row],[Sales]]&gt;=2000000,Table5[[#This Row],[Sales]]*10%,IF(Table5[[#This Row],[Sales]]&gt;=1000000,Table5[[#This Row],[Sales]]*8%,Table5[[#This Row],[Sales]]*6%))</f>
        <v>140800</v>
      </c>
      <c r="H9" s="4">
        <f>SUM(Table5[[#This Row],[Salary]]+Table5[[#This Row],[Bonus]])</f>
        <v>170800</v>
      </c>
    </row>
    <row r="10" spans="2:8" x14ac:dyDescent="0.25">
      <c r="C10" s="4">
        <v>3</v>
      </c>
      <c r="D10" s="4" t="s">
        <v>18</v>
      </c>
      <c r="E10" s="4">
        <v>30000</v>
      </c>
      <c r="F10" s="4">
        <v>3340000</v>
      </c>
      <c r="G10" s="4">
        <f>IF(Table5[[#This Row],[Sales]]&gt;=2000000,Table5[[#This Row],[Sales]]*10%,IF(Table5[[#This Row],[Sales]]&gt;=1000000,Table5[[#This Row],[Sales]]*8%,Table5[[#This Row],[Sales]]*6%))</f>
        <v>334000</v>
      </c>
      <c r="H10" s="4">
        <f>SUM(Table5[[#This Row],[Salary]]+Table5[[#This Row],[Bonus]])</f>
        <v>364000</v>
      </c>
    </row>
    <row r="11" spans="2:8" x14ac:dyDescent="0.25">
      <c r="C11" s="4">
        <v>4</v>
      </c>
      <c r="D11" s="4" t="s">
        <v>21</v>
      </c>
      <c r="E11" s="4">
        <v>30000</v>
      </c>
      <c r="F11" s="4">
        <v>960000</v>
      </c>
      <c r="G11" s="4">
        <f>IF(Table5[[#This Row],[Sales]]&gt;=2000000,Table5[[#This Row],[Sales]]*10%,IF(Table5[[#This Row],[Sales]]&gt;=1000000,Table5[[#This Row],[Sales]]*8%,Table5[[#This Row],[Sales]]*6%))</f>
        <v>57600</v>
      </c>
      <c r="H11" s="4">
        <f>SUM(Table5[[#This Row],[Salary]]+Table5[[#This Row],[Bonus]])</f>
        <v>87600</v>
      </c>
    </row>
    <row r="12" spans="2:8" x14ac:dyDescent="0.25">
      <c r="C12" s="4">
        <v>5</v>
      </c>
      <c r="D12" s="4" t="s">
        <v>12</v>
      </c>
      <c r="E12" s="4">
        <v>30000</v>
      </c>
      <c r="F12" s="4">
        <v>840000</v>
      </c>
      <c r="G12" s="4">
        <f>IF(Table5[[#This Row],[Sales]]&gt;=2000000,Table5[[#This Row],[Sales]]*10%,IF(Table5[[#This Row],[Sales]]&gt;=1000000,Table5[[#This Row],[Sales]]*8%,Table5[[#This Row],[Sales]]*6%))</f>
        <v>50400</v>
      </c>
      <c r="H12" s="4">
        <f>SUM(Table5[[#This Row],[Salary]]+Table5[[#This Row],[Bonus]])</f>
        <v>80400</v>
      </c>
    </row>
    <row r="13" spans="2:8" x14ac:dyDescent="0.25">
      <c r="C13" s="4">
        <v>6</v>
      </c>
      <c r="D13" s="4" t="s">
        <v>23</v>
      </c>
      <c r="E13" s="4">
        <v>30000</v>
      </c>
      <c r="F13" s="4">
        <v>700000</v>
      </c>
      <c r="G13" s="4">
        <f>IF(Table5[[#This Row],[Sales]]&gt;=2000000,Table5[[#This Row],[Sales]]*10%,IF(Table5[[#This Row],[Sales]]&gt;=1000000,Table5[[#This Row],[Sales]]*8%,Table5[[#This Row],[Sales]]*6%))</f>
        <v>42000</v>
      </c>
      <c r="H13" s="4">
        <f>SUM(Table5[[#This Row],[Salary]]+Table5[[#This Row],[Bonus]])</f>
        <v>72000</v>
      </c>
    </row>
    <row r="17" spans="2:4" x14ac:dyDescent="0.25">
      <c r="B17" s="34" t="s">
        <v>49</v>
      </c>
    </row>
    <row r="19" spans="2:4" x14ac:dyDescent="0.25">
      <c r="C19" s="19" t="s">
        <v>35</v>
      </c>
      <c r="D19" s="19" t="s">
        <v>44</v>
      </c>
    </row>
    <row r="20" spans="2:4" x14ac:dyDescent="0.25">
      <c r="C20" s="14" t="s">
        <v>9</v>
      </c>
      <c r="D20" s="4">
        <v>170800</v>
      </c>
    </row>
    <row r="21" spans="2:4" x14ac:dyDescent="0.25">
      <c r="C21" s="14" t="s">
        <v>21</v>
      </c>
      <c r="D21" s="4">
        <v>87600</v>
      </c>
    </row>
    <row r="22" spans="2:4" x14ac:dyDescent="0.25">
      <c r="C22" s="14" t="s">
        <v>23</v>
      </c>
      <c r="D22" s="4">
        <v>72000</v>
      </c>
    </row>
    <row r="23" spans="2:4" x14ac:dyDescent="0.25">
      <c r="C23" s="14" t="s">
        <v>18</v>
      </c>
      <c r="D23" s="4">
        <v>364000</v>
      </c>
    </row>
    <row r="24" spans="2:4" x14ac:dyDescent="0.25">
      <c r="C24" s="14" t="s">
        <v>12</v>
      </c>
      <c r="D24" s="4">
        <v>80400</v>
      </c>
    </row>
    <row r="25" spans="2:4" x14ac:dyDescent="0.25">
      <c r="C25" s="14" t="s">
        <v>15</v>
      </c>
      <c r="D25" s="4">
        <v>122000</v>
      </c>
    </row>
    <row r="26" spans="2:4" x14ac:dyDescent="0.25">
      <c r="C26" s="14" t="s">
        <v>26</v>
      </c>
      <c r="D26" s="4">
        <v>896800</v>
      </c>
    </row>
    <row r="34" spans="2:10" x14ac:dyDescent="0.25">
      <c r="B34" s="34" t="s">
        <v>46</v>
      </c>
    </row>
    <row r="36" spans="2:10" x14ac:dyDescent="0.25">
      <c r="C36" s="15" t="s">
        <v>37</v>
      </c>
      <c r="D36" s="15" t="s">
        <v>38</v>
      </c>
      <c r="E36" s="15" t="s">
        <v>39</v>
      </c>
      <c r="F36" s="15" t="s">
        <v>40</v>
      </c>
      <c r="G36" s="15" t="s">
        <v>43</v>
      </c>
      <c r="H36" s="15" t="s">
        <v>41</v>
      </c>
      <c r="I36" s="15" t="s">
        <v>45</v>
      </c>
      <c r="J36" s="15" t="s">
        <v>47</v>
      </c>
    </row>
    <row r="37" spans="2:10" x14ac:dyDescent="0.25">
      <c r="C37" s="16">
        <v>1</v>
      </c>
      <c r="D37" s="16" t="s">
        <v>42</v>
      </c>
      <c r="E37" s="16">
        <v>30000</v>
      </c>
      <c r="F37" s="17">
        <v>1150000</v>
      </c>
      <c r="G37" s="16">
        <f t="shared" ref="G37:G42" si="0">IF(F37&gt;=2000000,F37*10%,IF(F37&gt;=1000000,F37*8%,F37*6%))</f>
        <v>92000</v>
      </c>
      <c r="H37" s="16">
        <f t="shared" ref="H37:H42" si="1">SUM(E37+G37)</f>
        <v>122000</v>
      </c>
      <c r="I37" s="36">
        <f>AVERAGE(H37:H42)</f>
        <v>149466.66666666666</v>
      </c>
      <c r="J37" s="36">
        <f>ROUND(I37,0)</f>
        <v>149467</v>
      </c>
    </row>
    <row r="38" spans="2:10" x14ac:dyDescent="0.25">
      <c r="C38" s="4">
        <v>2</v>
      </c>
      <c r="D38" s="4" t="s">
        <v>9</v>
      </c>
      <c r="E38" s="4">
        <v>30000</v>
      </c>
      <c r="F38" s="18">
        <v>1760000</v>
      </c>
      <c r="G38" s="4">
        <f t="shared" si="0"/>
        <v>140800</v>
      </c>
      <c r="H38" s="4">
        <f t="shared" si="1"/>
        <v>170800</v>
      </c>
      <c r="I38" s="36"/>
      <c r="J38" s="36"/>
    </row>
    <row r="39" spans="2:10" x14ac:dyDescent="0.25">
      <c r="C39" s="16">
        <v>3</v>
      </c>
      <c r="D39" s="16" t="s">
        <v>18</v>
      </c>
      <c r="E39" s="16">
        <v>30000</v>
      </c>
      <c r="F39" s="17">
        <v>3340000</v>
      </c>
      <c r="G39" s="16">
        <f t="shared" si="0"/>
        <v>334000</v>
      </c>
      <c r="H39" s="16">
        <f t="shared" si="1"/>
        <v>364000</v>
      </c>
      <c r="I39" s="36"/>
      <c r="J39" s="36"/>
    </row>
    <row r="40" spans="2:10" x14ac:dyDescent="0.25">
      <c r="C40" s="4">
        <v>5</v>
      </c>
      <c r="D40" s="4" t="s">
        <v>12</v>
      </c>
      <c r="E40" s="4">
        <v>30000</v>
      </c>
      <c r="F40" s="18">
        <v>840000</v>
      </c>
      <c r="G40" s="4">
        <f t="shared" si="0"/>
        <v>50400</v>
      </c>
      <c r="H40" s="4">
        <f t="shared" si="1"/>
        <v>80400</v>
      </c>
      <c r="I40" s="36"/>
      <c r="J40" s="36"/>
    </row>
    <row r="41" spans="2:10" x14ac:dyDescent="0.25">
      <c r="C41" s="16">
        <v>5</v>
      </c>
      <c r="D41" s="16" t="s">
        <v>21</v>
      </c>
      <c r="E41" s="16">
        <v>30000</v>
      </c>
      <c r="F41" s="17">
        <v>960000</v>
      </c>
      <c r="G41" s="16">
        <f t="shared" si="0"/>
        <v>57600</v>
      </c>
      <c r="H41" s="16">
        <f t="shared" si="1"/>
        <v>87600</v>
      </c>
      <c r="I41" s="36"/>
      <c r="J41" s="36"/>
    </row>
    <row r="42" spans="2:10" x14ac:dyDescent="0.25">
      <c r="C42" s="4">
        <v>6</v>
      </c>
      <c r="D42" s="4" t="s">
        <v>23</v>
      </c>
      <c r="E42" s="4">
        <v>30000</v>
      </c>
      <c r="F42" s="18">
        <v>700000</v>
      </c>
      <c r="G42" s="4">
        <f t="shared" si="0"/>
        <v>42000</v>
      </c>
      <c r="H42" s="4">
        <f t="shared" si="1"/>
        <v>72000</v>
      </c>
      <c r="I42" s="36"/>
      <c r="J42" s="36"/>
    </row>
  </sheetData>
  <mergeCells count="4">
    <mergeCell ref="C5:H5"/>
    <mergeCell ref="C6:H6"/>
    <mergeCell ref="I37:I42"/>
    <mergeCell ref="J37:J42"/>
  </mergeCell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selection activeCell="H38" sqref="H38"/>
    </sheetView>
  </sheetViews>
  <sheetFormatPr defaultRowHeight="15" x14ac:dyDescent="0.25"/>
  <cols>
    <col min="2" max="2" width="17.42578125" customWidth="1"/>
    <col min="3" max="3" width="19.140625" bestFit="1" customWidth="1"/>
    <col min="7" max="7" width="10.85546875" customWidth="1"/>
    <col min="8" max="8" width="16.85546875" bestFit="1" customWidth="1"/>
    <col min="9" max="9" width="19.140625" bestFit="1" customWidth="1"/>
    <col min="13" max="13" width="11.42578125" customWidth="1"/>
    <col min="14" max="14" width="16.85546875" bestFit="1" customWidth="1"/>
    <col min="15" max="15" width="19.140625" bestFit="1" customWidth="1"/>
    <col min="19" max="19" width="11" customWidth="1"/>
  </cols>
  <sheetData>
    <row r="2" spans="1:18" x14ac:dyDescent="0.25">
      <c r="A2" s="25" t="s">
        <v>80</v>
      </c>
    </row>
    <row r="4" spans="1:18" x14ac:dyDescent="0.25">
      <c r="B4" s="31" t="s">
        <v>72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6" spans="1:18" x14ac:dyDescent="0.25">
      <c r="B6" s="30" t="s">
        <v>50</v>
      </c>
      <c r="C6" s="30"/>
      <c r="D6" s="30"/>
      <c r="E6" s="30"/>
      <c r="F6" s="30"/>
      <c r="H6" s="30" t="s">
        <v>70</v>
      </c>
      <c r="I6" s="30"/>
      <c r="J6" s="30"/>
      <c r="K6" s="30"/>
      <c r="L6" s="30"/>
      <c r="N6" s="30" t="s">
        <v>71</v>
      </c>
      <c r="O6" s="30"/>
      <c r="P6" s="30"/>
      <c r="Q6" s="30"/>
      <c r="R6" s="30"/>
    </row>
    <row r="7" spans="1:18" x14ac:dyDescent="0.25">
      <c r="B7" s="20" t="s">
        <v>51</v>
      </c>
      <c r="C7" s="20" t="s">
        <v>52</v>
      </c>
      <c r="D7" s="20" t="s">
        <v>5</v>
      </c>
      <c r="E7" s="20" t="s">
        <v>53</v>
      </c>
      <c r="F7" s="20" t="s">
        <v>41</v>
      </c>
      <c r="H7" s="20" t="s">
        <v>51</v>
      </c>
      <c r="I7" s="20" t="s">
        <v>52</v>
      </c>
      <c r="J7" s="20" t="s">
        <v>5</v>
      </c>
      <c r="K7" s="20" t="s">
        <v>53</v>
      </c>
      <c r="L7" s="20" t="s">
        <v>41</v>
      </c>
      <c r="N7" s="20" t="s">
        <v>51</v>
      </c>
      <c r="O7" s="20" t="s">
        <v>52</v>
      </c>
      <c r="P7" s="20" t="s">
        <v>5</v>
      </c>
      <c r="Q7" s="20" t="s">
        <v>53</v>
      </c>
      <c r="R7" s="20" t="s">
        <v>41</v>
      </c>
    </row>
    <row r="8" spans="1:18" x14ac:dyDescent="0.25">
      <c r="B8" s="4" t="s">
        <v>10</v>
      </c>
      <c r="C8" s="4" t="s">
        <v>64</v>
      </c>
      <c r="D8" s="4">
        <v>53</v>
      </c>
      <c r="E8" s="4">
        <v>60000</v>
      </c>
      <c r="F8" s="4">
        <v>3180000</v>
      </c>
      <c r="H8" s="4" t="s">
        <v>10</v>
      </c>
      <c r="I8" s="4" t="s">
        <v>64</v>
      </c>
      <c r="J8" s="4">
        <v>53</v>
      </c>
      <c r="K8" s="4">
        <v>60000</v>
      </c>
      <c r="L8" s="4">
        <v>3300000</v>
      </c>
      <c r="N8" s="4" t="s">
        <v>10</v>
      </c>
      <c r="O8" s="4" t="s">
        <v>64</v>
      </c>
      <c r="P8" s="4">
        <v>53</v>
      </c>
      <c r="Q8" s="4">
        <v>60000</v>
      </c>
      <c r="R8" s="4">
        <v>4020000</v>
      </c>
    </row>
    <row r="9" spans="1:18" x14ac:dyDescent="0.25">
      <c r="B9" s="4" t="s">
        <v>13</v>
      </c>
      <c r="C9" s="4" t="s">
        <v>64</v>
      </c>
      <c r="D9" s="4">
        <v>48</v>
      </c>
      <c r="E9" s="4">
        <v>45000</v>
      </c>
      <c r="F9" s="4">
        <v>2160000</v>
      </c>
      <c r="H9" s="4" t="s">
        <v>13</v>
      </c>
      <c r="I9" s="4" t="s">
        <v>64</v>
      </c>
      <c r="J9" s="4">
        <v>48</v>
      </c>
      <c r="K9" s="4">
        <v>45000</v>
      </c>
      <c r="L9" s="4">
        <v>2250000</v>
      </c>
      <c r="N9" s="4" t="s">
        <v>13</v>
      </c>
      <c r="O9" s="4" t="s">
        <v>64</v>
      </c>
      <c r="P9" s="4">
        <v>48</v>
      </c>
      <c r="Q9" s="4">
        <v>45000</v>
      </c>
      <c r="R9" s="4">
        <v>1845000</v>
      </c>
    </row>
    <row r="10" spans="1:18" x14ac:dyDescent="0.25">
      <c r="B10" s="4" t="s">
        <v>19</v>
      </c>
      <c r="C10" s="4" t="s">
        <v>64</v>
      </c>
      <c r="D10" s="4">
        <v>56</v>
      </c>
      <c r="E10" s="4">
        <v>26000</v>
      </c>
      <c r="F10" s="4">
        <v>1456000</v>
      </c>
      <c r="H10" s="4" t="s">
        <v>19</v>
      </c>
      <c r="I10" s="4" t="s">
        <v>64</v>
      </c>
      <c r="J10" s="4">
        <v>56</v>
      </c>
      <c r="K10" s="4">
        <v>26000</v>
      </c>
      <c r="L10" s="4">
        <v>2054000</v>
      </c>
      <c r="N10" s="4" t="s">
        <v>19</v>
      </c>
      <c r="O10" s="4" t="s">
        <v>64</v>
      </c>
      <c r="P10" s="4">
        <v>56</v>
      </c>
      <c r="Q10" s="4">
        <v>26000</v>
      </c>
      <c r="R10" s="4">
        <v>1820000</v>
      </c>
    </row>
    <row r="11" spans="1:18" x14ac:dyDescent="0.25">
      <c r="B11" s="4" t="s">
        <v>16</v>
      </c>
      <c r="C11" s="4" t="s">
        <v>64</v>
      </c>
      <c r="D11" s="4">
        <v>48</v>
      </c>
      <c r="E11" s="4">
        <v>17000</v>
      </c>
      <c r="F11" s="4">
        <v>816000</v>
      </c>
      <c r="H11" s="4" t="s">
        <v>16</v>
      </c>
      <c r="I11" s="4" t="s">
        <v>64</v>
      </c>
      <c r="J11" s="4">
        <v>48</v>
      </c>
      <c r="K11" s="4">
        <v>17000</v>
      </c>
      <c r="L11" s="4">
        <v>1020000</v>
      </c>
      <c r="N11" s="4" t="s">
        <v>16</v>
      </c>
      <c r="O11" s="4" t="s">
        <v>64</v>
      </c>
      <c r="P11" s="4">
        <v>48</v>
      </c>
      <c r="Q11" s="4">
        <v>17000</v>
      </c>
      <c r="R11" s="4">
        <v>986000</v>
      </c>
    </row>
    <row r="12" spans="1:18" x14ac:dyDescent="0.25">
      <c r="B12" s="4" t="s">
        <v>54</v>
      </c>
      <c r="C12" s="4" t="s">
        <v>69</v>
      </c>
      <c r="D12" s="4"/>
      <c r="E12" s="4"/>
      <c r="F12" s="4">
        <v>12000</v>
      </c>
      <c r="H12" s="4" t="s">
        <v>54</v>
      </c>
      <c r="I12" s="4" t="s">
        <v>69</v>
      </c>
      <c r="J12" s="4"/>
      <c r="K12" s="4"/>
      <c r="L12" s="4">
        <v>12000</v>
      </c>
      <c r="N12" s="4" t="s">
        <v>54</v>
      </c>
      <c r="O12" s="4" t="s">
        <v>69</v>
      </c>
      <c r="P12" s="4"/>
      <c r="Q12" s="4"/>
      <c r="R12" s="4">
        <v>13000</v>
      </c>
    </row>
    <row r="13" spans="1:18" x14ac:dyDescent="0.25">
      <c r="B13" s="4" t="s">
        <v>55</v>
      </c>
      <c r="C13" s="4" t="s">
        <v>68</v>
      </c>
      <c r="D13" s="4"/>
      <c r="E13" s="4"/>
      <c r="F13" s="4">
        <v>5000</v>
      </c>
      <c r="H13" s="4" t="s">
        <v>55</v>
      </c>
      <c r="I13" s="4" t="s">
        <v>68</v>
      </c>
      <c r="J13" s="4"/>
      <c r="K13" s="4"/>
      <c r="L13" s="4">
        <v>8000</v>
      </c>
      <c r="N13" s="4" t="s">
        <v>55</v>
      </c>
      <c r="O13" s="4" t="s">
        <v>68</v>
      </c>
      <c r="P13" s="4"/>
      <c r="Q13" s="4"/>
      <c r="R13" s="4">
        <v>2000</v>
      </c>
    </row>
    <row r="14" spans="1:18" x14ac:dyDescent="0.25">
      <c r="B14" s="4" t="s">
        <v>56</v>
      </c>
      <c r="C14" s="4" t="s">
        <v>65</v>
      </c>
      <c r="D14" s="4"/>
      <c r="E14" s="4"/>
      <c r="F14" s="4">
        <v>8000</v>
      </c>
      <c r="H14" s="4" t="s">
        <v>56</v>
      </c>
      <c r="I14" s="4" t="s">
        <v>65</v>
      </c>
      <c r="J14" s="4"/>
      <c r="K14" s="4"/>
      <c r="L14" s="4">
        <v>8000</v>
      </c>
      <c r="N14" s="4" t="s">
        <v>56</v>
      </c>
      <c r="O14" s="4" t="s">
        <v>65</v>
      </c>
      <c r="P14" s="4"/>
      <c r="Q14" s="4"/>
      <c r="R14" s="4">
        <v>8000</v>
      </c>
    </row>
    <row r="15" spans="1:18" x14ac:dyDescent="0.25">
      <c r="B15" s="4" t="s">
        <v>57</v>
      </c>
      <c r="C15" s="4" t="s">
        <v>67</v>
      </c>
      <c r="D15" s="4"/>
      <c r="E15" s="4"/>
      <c r="F15" s="4">
        <v>1500</v>
      </c>
      <c r="H15" s="4" t="s">
        <v>57</v>
      </c>
      <c r="I15" s="4" t="s">
        <v>67</v>
      </c>
      <c r="J15" s="4"/>
      <c r="K15" s="4"/>
      <c r="L15" s="4">
        <v>1500</v>
      </c>
      <c r="N15" s="4" t="s">
        <v>57</v>
      </c>
      <c r="O15" s="4" t="s">
        <v>67</v>
      </c>
      <c r="P15" s="4"/>
      <c r="Q15" s="4"/>
      <c r="R15" s="4">
        <v>1500</v>
      </c>
    </row>
    <row r="16" spans="1:18" x14ac:dyDescent="0.25">
      <c r="B16" s="4" t="s">
        <v>58</v>
      </c>
      <c r="C16" s="4" t="s">
        <v>66</v>
      </c>
      <c r="D16" s="4">
        <v>5</v>
      </c>
      <c r="E16" s="4">
        <v>30000</v>
      </c>
      <c r="F16" s="4">
        <v>150000</v>
      </c>
      <c r="H16" s="4" t="s">
        <v>58</v>
      </c>
      <c r="I16" s="4" t="s">
        <v>66</v>
      </c>
      <c r="J16" s="4">
        <v>5</v>
      </c>
      <c r="K16" s="4">
        <v>30000</v>
      </c>
      <c r="L16" s="4">
        <v>150000</v>
      </c>
      <c r="N16" s="4" t="s">
        <v>58</v>
      </c>
      <c r="O16" s="4" t="s">
        <v>66</v>
      </c>
      <c r="P16" s="4">
        <v>5</v>
      </c>
      <c r="Q16" s="4">
        <v>30000</v>
      </c>
      <c r="R16" s="4">
        <v>150000</v>
      </c>
    </row>
    <row r="17" spans="2:19" x14ac:dyDescent="0.25">
      <c r="B17" s="4" t="s">
        <v>59</v>
      </c>
      <c r="C17" s="4" t="s">
        <v>66</v>
      </c>
      <c r="D17" s="4"/>
      <c r="E17" s="4"/>
      <c r="F17" s="4">
        <v>20000</v>
      </c>
      <c r="H17" s="4" t="s">
        <v>59</v>
      </c>
      <c r="I17" s="4" t="s">
        <v>66</v>
      </c>
      <c r="J17" s="4"/>
      <c r="K17" s="4"/>
      <c r="L17" s="4">
        <v>20000</v>
      </c>
      <c r="N17" s="4" t="s">
        <v>59</v>
      </c>
      <c r="O17" s="4" t="s">
        <v>66</v>
      </c>
      <c r="P17" s="4"/>
      <c r="Q17" s="4"/>
      <c r="R17" s="4">
        <v>20000</v>
      </c>
    </row>
    <row r="18" spans="2:19" x14ac:dyDescent="0.25">
      <c r="B18" s="4" t="s">
        <v>60</v>
      </c>
      <c r="C18" s="4" t="s">
        <v>67</v>
      </c>
      <c r="D18" s="4"/>
      <c r="E18" s="4"/>
      <c r="F18" s="4">
        <v>2000</v>
      </c>
      <c r="H18" s="4" t="s">
        <v>60</v>
      </c>
      <c r="I18" s="4" t="s">
        <v>67</v>
      </c>
      <c r="J18" s="4"/>
      <c r="K18" s="4"/>
      <c r="L18" s="4">
        <v>3000</v>
      </c>
      <c r="N18" s="4" t="s">
        <v>60</v>
      </c>
      <c r="O18" s="4" t="s">
        <v>67</v>
      </c>
      <c r="P18" s="4"/>
      <c r="Q18" s="4"/>
      <c r="R18" s="4">
        <v>2000</v>
      </c>
    </row>
    <row r="19" spans="2:19" x14ac:dyDescent="0.25">
      <c r="B19" s="4" t="s">
        <v>61</v>
      </c>
      <c r="C19" s="4" t="s">
        <v>68</v>
      </c>
      <c r="D19" s="4"/>
      <c r="E19" s="4"/>
      <c r="F19" s="4">
        <v>3000</v>
      </c>
      <c r="H19" s="4" t="s">
        <v>61</v>
      </c>
      <c r="I19" s="4" t="s">
        <v>68</v>
      </c>
      <c r="J19" s="4"/>
      <c r="K19" s="4"/>
      <c r="L19" s="4">
        <v>1000</v>
      </c>
      <c r="N19" s="4" t="s">
        <v>61</v>
      </c>
      <c r="O19" s="4" t="s">
        <v>68</v>
      </c>
      <c r="P19" s="4"/>
      <c r="Q19" s="4"/>
      <c r="R19" s="4">
        <v>7000</v>
      </c>
    </row>
    <row r="20" spans="2:19" x14ac:dyDescent="0.25">
      <c r="B20" s="4" t="s">
        <v>62</v>
      </c>
      <c r="C20" s="4" t="s">
        <v>67</v>
      </c>
      <c r="D20" s="4"/>
      <c r="E20" s="4"/>
      <c r="F20" s="4">
        <v>1000</v>
      </c>
      <c r="H20" s="4" t="s">
        <v>62</v>
      </c>
      <c r="I20" s="4" t="s">
        <v>67</v>
      </c>
      <c r="J20" s="4"/>
      <c r="K20" s="4"/>
      <c r="L20" s="4">
        <v>800</v>
      </c>
      <c r="N20" s="4" t="s">
        <v>62</v>
      </c>
      <c r="O20" s="4" t="s">
        <v>67</v>
      </c>
      <c r="P20" s="4"/>
      <c r="Q20" s="4"/>
      <c r="R20" s="4">
        <v>1200</v>
      </c>
    </row>
    <row r="21" spans="2:19" x14ac:dyDescent="0.25">
      <c r="B21" s="4" t="s">
        <v>63</v>
      </c>
      <c r="C21" s="4"/>
      <c r="D21" s="4"/>
      <c r="E21" s="4"/>
      <c r="F21" s="4">
        <v>40000</v>
      </c>
      <c r="H21" s="4" t="s">
        <v>63</v>
      </c>
      <c r="I21" s="4"/>
      <c r="J21" s="4"/>
      <c r="K21" s="4"/>
      <c r="L21" s="4">
        <v>1170000</v>
      </c>
      <c r="N21" s="4" t="s">
        <v>63</v>
      </c>
      <c r="O21" s="4"/>
      <c r="P21" s="4"/>
      <c r="Q21" s="4"/>
      <c r="R21" s="4">
        <v>110000</v>
      </c>
    </row>
    <row r="22" spans="2:19" x14ac:dyDescent="0.25">
      <c r="E22" s="21" t="s">
        <v>24</v>
      </c>
      <c r="F22" s="21">
        <f>SUM(F8:F21)</f>
        <v>7854500</v>
      </c>
      <c r="K22" s="21" t="s">
        <v>24</v>
      </c>
      <c r="L22" s="21">
        <f>SUM(L8:L21)</f>
        <v>9998300</v>
      </c>
      <c r="Q22" s="21" t="s">
        <v>24</v>
      </c>
      <c r="R22" s="21">
        <f>SUM(R8:R21)</f>
        <v>8985700</v>
      </c>
    </row>
    <row r="25" spans="2:19" x14ac:dyDescent="0.25">
      <c r="N25" s="25" t="s">
        <v>81</v>
      </c>
    </row>
    <row r="26" spans="2:19" x14ac:dyDescent="0.25">
      <c r="O26" s="37" t="s">
        <v>82</v>
      </c>
      <c r="P26" s="38"/>
      <c r="Q26" s="38"/>
      <c r="R26" s="38"/>
      <c r="S26" s="38"/>
    </row>
    <row r="27" spans="2:19" x14ac:dyDescent="0.25">
      <c r="C27" s="22"/>
      <c r="D27" s="22" t="s">
        <v>27</v>
      </c>
      <c r="I27" s="23" t="s">
        <v>73</v>
      </c>
      <c r="J27" s="23" t="s">
        <v>74</v>
      </c>
      <c r="K27" s="23" t="s">
        <v>40</v>
      </c>
      <c r="L27" s="23" t="s">
        <v>75</v>
      </c>
      <c r="M27" s="24" t="s">
        <v>76</v>
      </c>
      <c r="O27" s="7" t="s">
        <v>34</v>
      </c>
      <c r="P27" s="7" t="s">
        <v>27</v>
      </c>
      <c r="Q27" s="4"/>
      <c r="R27" s="4"/>
      <c r="S27" s="4"/>
    </row>
    <row r="28" spans="2:19" x14ac:dyDescent="0.25">
      <c r="D28" t="s">
        <v>77</v>
      </c>
      <c r="E28" t="s">
        <v>78</v>
      </c>
      <c r="F28" t="s">
        <v>79</v>
      </c>
      <c r="G28" t="s">
        <v>26</v>
      </c>
      <c r="I28" s="4" t="s">
        <v>50</v>
      </c>
      <c r="J28" s="4">
        <v>7854500</v>
      </c>
      <c r="K28" s="4">
        <v>8750000</v>
      </c>
      <c r="L28" s="4">
        <f>K28-J28</f>
        <v>895500</v>
      </c>
      <c r="M28" s="4" t="str">
        <f>IF(L28&gt;0, "profit","loss")</f>
        <v>profit</v>
      </c>
      <c r="O28" s="7" t="s">
        <v>35</v>
      </c>
      <c r="P28" s="4" t="s">
        <v>77</v>
      </c>
      <c r="Q28" s="4" t="s">
        <v>78</v>
      </c>
      <c r="R28" s="4" t="s">
        <v>79</v>
      </c>
      <c r="S28" s="4" t="s">
        <v>26</v>
      </c>
    </row>
    <row r="29" spans="2:19" x14ac:dyDescent="0.25">
      <c r="C29" t="s">
        <v>28</v>
      </c>
      <c r="D29">
        <v>8750000</v>
      </c>
      <c r="E29">
        <v>9920000</v>
      </c>
      <c r="F29">
        <v>10000000</v>
      </c>
      <c r="G29">
        <v>28670000</v>
      </c>
      <c r="I29" s="4" t="s">
        <v>70</v>
      </c>
      <c r="J29" s="4">
        <v>9998300</v>
      </c>
      <c r="K29" s="4">
        <v>9920000</v>
      </c>
      <c r="L29" s="4">
        <f>K29-J29</f>
        <v>-78300</v>
      </c>
      <c r="M29" s="4" t="str">
        <f t="shared" ref="M29:M30" si="0">IF(L29&gt;0, "profit","loss")</f>
        <v>loss</v>
      </c>
      <c r="O29" s="14" t="s">
        <v>13</v>
      </c>
      <c r="P29" s="4">
        <v>48</v>
      </c>
      <c r="Q29" s="4">
        <v>50</v>
      </c>
      <c r="R29" s="4">
        <v>41</v>
      </c>
      <c r="S29" s="4">
        <v>139</v>
      </c>
    </row>
    <row r="30" spans="2:19" x14ac:dyDescent="0.25">
      <c r="I30" s="4" t="s">
        <v>71</v>
      </c>
      <c r="J30" s="4">
        <v>8985700</v>
      </c>
      <c r="K30" s="4">
        <v>10000000</v>
      </c>
      <c r="L30" s="4">
        <f>K30-J30</f>
        <v>1014300</v>
      </c>
      <c r="M30" s="4" t="str">
        <f t="shared" si="0"/>
        <v>profit</v>
      </c>
      <c r="O30" s="14" t="s">
        <v>10</v>
      </c>
      <c r="P30" s="4">
        <v>53</v>
      </c>
      <c r="Q30" s="4">
        <v>55</v>
      </c>
      <c r="R30" s="4">
        <v>67</v>
      </c>
      <c r="S30" s="4">
        <v>175</v>
      </c>
    </row>
    <row r="31" spans="2:19" x14ac:dyDescent="0.25">
      <c r="O31" s="14" t="s">
        <v>19</v>
      </c>
      <c r="P31" s="4">
        <v>56</v>
      </c>
      <c r="Q31" s="4">
        <v>79</v>
      </c>
      <c r="R31" s="4">
        <v>70</v>
      </c>
      <c r="S31" s="4">
        <v>205</v>
      </c>
    </row>
    <row r="32" spans="2:19" x14ac:dyDescent="0.25">
      <c r="O32" s="14" t="s">
        <v>16</v>
      </c>
      <c r="P32" s="4">
        <v>48</v>
      </c>
      <c r="Q32" s="4">
        <v>60</v>
      </c>
      <c r="R32" s="4">
        <v>58</v>
      </c>
      <c r="S32" s="4">
        <v>166</v>
      </c>
    </row>
    <row r="33" spans="15:19" x14ac:dyDescent="0.25">
      <c r="O33" s="14" t="s">
        <v>26</v>
      </c>
      <c r="P33" s="35">
        <v>205</v>
      </c>
      <c r="Q33" s="4">
        <v>244</v>
      </c>
      <c r="R33" s="4">
        <v>236</v>
      </c>
      <c r="S33" s="4">
        <v>685</v>
      </c>
    </row>
  </sheetData>
  <mergeCells count="5">
    <mergeCell ref="B6:F6"/>
    <mergeCell ref="H6:L6"/>
    <mergeCell ref="N6:R6"/>
    <mergeCell ref="O26:S26"/>
    <mergeCell ref="B4:R4"/>
  </mergeCells>
  <conditionalFormatting sqref="M28:M30">
    <cfRule type="containsText" dxfId="13" priority="2" operator="containsText" text="profit">
      <formula>NOT(ISERROR(SEARCH("profit",M28)))</formula>
    </cfRule>
  </conditionalFormatting>
  <conditionalFormatting sqref="M29">
    <cfRule type="containsText" dxfId="12" priority="1" operator="containsText" text="loss">
      <formula>NOT(ISERROR(SEARCH("loss",M29)))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6933-80F4-41E3-B358-FEF5D47A31F7}">
  <dimension ref="B2:F18"/>
  <sheetViews>
    <sheetView workbookViewId="0">
      <selection activeCell="W30" sqref="W30"/>
    </sheetView>
  </sheetViews>
  <sheetFormatPr defaultRowHeight="15" x14ac:dyDescent="0.25"/>
  <cols>
    <col min="2" max="2" width="10.140625" customWidth="1"/>
    <col min="3" max="3" width="10.85546875" customWidth="1"/>
  </cols>
  <sheetData>
    <row r="2" spans="2:6" ht="15.75" thickBot="1" x14ac:dyDescent="0.3"/>
    <row r="3" spans="2:6" ht="15.75" thickBot="1" x14ac:dyDescent="0.3">
      <c r="B3" s="40" t="s">
        <v>95</v>
      </c>
      <c r="C3" s="41"/>
    </row>
    <row r="5" spans="2:6" x14ac:dyDescent="0.25">
      <c r="C5" s="39" t="s">
        <v>83</v>
      </c>
      <c r="D5" s="32"/>
      <c r="E5" s="32"/>
      <c r="F5" s="32"/>
    </row>
    <row r="6" spans="2:6" x14ac:dyDescent="0.25">
      <c r="C6" s="4" t="s">
        <v>73</v>
      </c>
      <c r="D6" s="4" t="s">
        <v>74</v>
      </c>
      <c r="E6" s="4" t="s">
        <v>40</v>
      </c>
      <c r="F6" s="4" t="s">
        <v>84</v>
      </c>
    </row>
    <row r="7" spans="2:6" x14ac:dyDescent="0.25">
      <c r="C7" s="4" t="s">
        <v>50</v>
      </c>
      <c r="D7" s="4">
        <v>9288500</v>
      </c>
      <c r="E7" s="4">
        <v>8750000</v>
      </c>
      <c r="F7" s="4">
        <f>E7-D7</f>
        <v>-538500</v>
      </c>
    </row>
    <row r="8" spans="2:6" x14ac:dyDescent="0.25">
      <c r="C8" s="4" t="s">
        <v>70</v>
      </c>
      <c r="D8" s="4">
        <v>9744300</v>
      </c>
      <c r="E8" s="4">
        <v>9920000</v>
      </c>
      <c r="F8" s="4">
        <f t="shared" ref="F8:F18" si="0">E8-D8</f>
        <v>175700</v>
      </c>
    </row>
    <row r="9" spans="2:6" x14ac:dyDescent="0.25">
      <c r="C9" s="4" t="s">
        <v>71</v>
      </c>
      <c r="D9" s="4">
        <v>8904700</v>
      </c>
      <c r="E9" s="4">
        <v>10000000</v>
      </c>
      <c r="F9" s="4">
        <f t="shared" si="0"/>
        <v>1095300</v>
      </c>
    </row>
    <row r="10" spans="2:6" x14ac:dyDescent="0.25">
      <c r="C10" s="4" t="s">
        <v>85</v>
      </c>
      <c r="D10" s="4">
        <v>7345200</v>
      </c>
      <c r="E10" s="4">
        <v>7957400</v>
      </c>
      <c r="F10" s="4">
        <f t="shared" si="0"/>
        <v>612200</v>
      </c>
    </row>
    <row r="11" spans="2:6" x14ac:dyDescent="0.25">
      <c r="C11" s="4" t="s">
        <v>86</v>
      </c>
      <c r="D11" s="4">
        <v>8987000</v>
      </c>
      <c r="E11" s="4">
        <v>9876500</v>
      </c>
      <c r="F11" s="4">
        <f t="shared" si="0"/>
        <v>889500</v>
      </c>
    </row>
    <row r="12" spans="2:6" x14ac:dyDescent="0.25">
      <c r="C12" s="4" t="s">
        <v>87</v>
      </c>
      <c r="D12" s="4">
        <v>5215400</v>
      </c>
      <c r="E12" s="4">
        <v>5164500</v>
      </c>
      <c r="F12" s="4">
        <f t="shared" si="0"/>
        <v>-50900</v>
      </c>
    </row>
    <row r="13" spans="2:6" x14ac:dyDescent="0.25">
      <c r="C13" s="4" t="s">
        <v>88</v>
      </c>
      <c r="D13" s="4">
        <v>9976500</v>
      </c>
      <c r="E13" s="4">
        <v>11543600</v>
      </c>
      <c r="F13" s="4">
        <f t="shared" si="0"/>
        <v>1567100</v>
      </c>
    </row>
    <row r="14" spans="2:6" x14ac:dyDescent="0.25">
      <c r="C14" s="4" t="s">
        <v>89</v>
      </c>
      <c r="D14" s="4">
        <v>7976700</v>
      </c>
      <c r="E14" s="4">
        <v>8087900</v>
      </c>
      <c r="F14" s="4">
        <f t="shared" si="0"/>
        <v>111200</v>
      </c>
    </row>
    <row r="15" spans="2:6" x14ac:dyDescent="0.25">
      <c r="C15" s="4" t="s">
        <v>90</v>
      </c>
      <c r="D15" s="4">
        <v>9879000</v>
      </c>
      <c r="E15" s="4">
        <v>9969800</v>
      </c>
      <c r="F15" s="4">
        <f t="shared" si="0"/>
        <v>90800</v>
      </c>
    </row>
    <row r="16" spans="2:6" x14ac:dyDescent="0.25">
      <c r="C16" s="4" t="s">
        <v>91</v>
      </c>
      <c r="D16" s="4">
        <v>6234800</v>
      </c>
      <c r="E16" s="4">
        <v>7024000</v>
      </c>
      <c r="F16" s="4">
        <f t="shared" si="0"/>
        <v>789200</v>
      </c>
    </row>
    <row r="17" spans="3:6" x14ac:dyDescent="0.25">
      <c r="C17" s="4" t="s">
        <v>92</v>
      </c>
      <c r="D17" s="4">
        <v>4534800</v>
      </c>
      <c r="E17" s="4">
        <v>4809300</v>
      </c>
      <c r="F17" s="4">
        <f t="shared" si="0"/>
        <v>274500</v>
      </c>
    </row>
    <row r="18" spans="3:6" x14ac:dyDescent="0.25">
      <c r="C18" s="4" t="s">
        <v>93</v>
      </c>
      <c r="D18" s="4">
        <v>8348700</v>
      </c>
      <c r="E18" s="4">
        <v>8834800</v>
      </c>
      <c r="F18" s="4">
        <f t="shared" si="0"/>
        <v>486100</v>
      </c>
    </row>
  </sheetData>
  <mergeCells count="2">
    <mergeCell ref="C5:F5"/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querstion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Al-amin Islam</dc:creator>
  <cp:lastModifiedBy>Palash Mazumder</cp:lastModifiedBy>
  <dcterms:created xsi:type="dcterms:W3CDTF">2024-05-29T21:50:26Z</dcterms:created>
  <dcterms:modified xsi:type="dcterms:W3CDTF">2024-11-30T08:48:05Z</dcterms:modified>
</cp:coreProperties>
</file>